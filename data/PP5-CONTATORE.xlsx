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=1min" sheetId="1" r:id="rId5"/>
    <sheet state="visible" name="t=2min" sheetId="2" r:id="rId6"/>
    <sheet state="visible" name="t=3min" sheetId="3" r:id="rId7"/>
    <sheet state="visible" name="t=5min" sheetId="4" r:id="rId8"/>
    <sheet state="visible" name="t=10min" sheetId="5" r:id="rId9"/>
    <sheet state="visible" name="10min in Verticale" sheetId="6" r:id="rId10"/>
    <sheet state="visible" name="10min di Tufo" sheetId="7" r:id="rId11"/>
    <sheet state="visible" name="5.1" sheetId="8" r:id="rId12"/>
    <sheet state="visible" name="5.1 Emma Dati" sheetId="9" r:id="rId13"/>
  </sheets>
  <definedNames/>
  <calcPr/>
</workbook>
</file>

<file path=xl/sharedStrings.xml><?xml version="1.0" encoding="utf-8"?>
<sst xmlns="http://schemas.openxmlformats.org/spreadsheetml/2006/main" count="2532" uniqueCount="1177">
  <si>
    <t xml:space="preserve">NON CONVERTITI </t>
  </si>
  <si>
    <t xml:space="preserve">CONVERTITI </t>
  </si>
  <si>
    <t>Tempo [s]</t>
  </si>
  <si>
    <t>Conteggi totali</t>
  </si>
  <si>
    <t>t66E76tA61C5$3</t>
  </si>
  <si>
    <t xml:space="preserve">lambda </t>
  </si>
  <si>
    <t>rate</t>
  </si>
  <si>
    <t>7$1</t>
  </si>
  <si>
    <t>t7CE2F$1</t>
  </si>
  <si>
    <t>incertezza</t>
  </si>
  <si>
    <t>t0t3DEBDt4C7FC$2</t>
  </si>
  <si>
    <t>tA4ED6$0</t>
  </si>
  <si>
    <t>tot conteggi:</t>
  </si>
  <si>
    <t>tC2E2B$1</t>
  </si>
  <si>
    <t>t297E9t66352$2</t>
  </si>
  <si>
    <t>t78371$1</t>
  </si>
  <si>
    <t>tEFBD9$1</t>
  </si>
  <si>
    <t>tBAB69$1</t>
  </si>
  <si>
    <t>t7A559$1</t>
  </si>
  <si>
    <t>t40CE$1</t>
  </si>
  <si>
    <t>t3307$1</t>
  </si>
  <si>
    <t>t15F7t8A2C0$2</t>
  </si>
  <si>
    <t>t42A63$1</t>
  </si>
  <si>
    <t>t40414$1</t>
  </si>
  <si>
    <t>t6DF3D$1</t>
  </si>
  <si>
    <t>t45BD0$1</t>
  </si>
  <si>
    <t>tA80E9$1</t>
  </si>
  <si>
    <t>tA28C9tF405D$2</t>
  </si>
  <si>
    <t>tF40A3$1</t>
  </si>
  <si>
    <t>tBED1</t>
  </si>
  <si>
    <t>Conteggi Totali</t>
  </si>
  <si>
    <t>t01</t>
  </si>
  <si>
    <t>Rate</t>
  </si>
  <si>
    <t>Lambda</t>
  </si>
  <si>
    <t>t73ABCt7D10At0$0</t>
  </si>
  <si>
    <t>t8D58F$1</t>
  </si>
  <si>
    <t>t539F3tE54A2$2</t>
  </si>
  <si>
    <t>$0</t>
  </si>
  <si>
    <t>tCE34B$1</t>
  </si>
  <si>
    <t>tF34AtB2769tB5217$3</t>
  </si>
  <si>
    <t>t38176tDE217$2</t>
  </si>
  <si>
    <t>t76918$1</t>
  </si>
  <si>
    <t>t98FDB$1</t>
  </si>
  <si>
    <t>t43DB2t77B02$2</t>
  </si>
  <si>
    <t>t50AF$1</t>
  </si>
  <si>
    <t>tAADC3$1</t>
  </si>
  <si>
    <t>t397CCtBC183$2</t>
  </si>
  <si>
    <t>t339A9t41B6C$2</t>
  </si>
  <si>
    <t>t111DEt5AC9F$2</t>
  </si>
  <si>
    <t>t563AAt65076$2</t>
  </si>
  <si>
    <t>tC6B0F$1</t>
  </si>
  <si>
    <t>t6E875$1</t>
  </si>
  <si>
    <t>tE822F$1</t>
  </si>
  <si>
    <t>t57A50t606F8t9BB6D$3</t>
  </si>
  <si>
    <t>t4687A$1</t>
  </si>
  <si>
    <t>t4C8CD$1</t>
  </si>
  <si>
    <t>tAB0C2$1</t>
  </si>
  <si>
    <t>t22EE1$1</t>
  </si>
  <si>
    <t>t8F55F$1</t>
  </si>
  <si>
    <t>tCFA19$1</t>
  </si>
  <si>
    <t>tE9B89$1</t>
  </si>
  <si>
    <t>t9DE1$1</t>
  </si>
  <si>
    <t>t613C3$1</t>
  </si>
  <si>
    <t>tDECF1$1</t>
  </si>
  <si>
    <t>t4968C$1</t>
  </si>
  <si>
    <t>t62D45$1</t>
  </si>
  <si>
    <t>t7649A$1</t>
  </si>
  <si>
    <t>tC360E$1</t>
  </si>
  <si>
    <t>t93B04$1</t>
  </si>
  <si>
    <t>t94370$1</t>
  </si>
  <si>
    <t>t3C8C0$1</t>
  </si>
  <si>
    <t>t555D6t99423tE769F$3</t>
  </si>
  <si>
    <t>t9379E$1</t>
  </si>
  <si>
    <t>t98426$1</t>
  </si>
  <si>
    <t>tCFC6E$1</t>
  </si>
  <si>
    <t>t2D0AC$1</t>
  </si>
  <si>
    <t>tCA3B0tCDAB5$2</t>
  </si>
  <si>
    <t>t1B95C$1</t>
  </si>
  <si>
    <t>t538B6$1</t>
  </si>
  <si>
    <t>t6911tA1233$2</t>
  </si>
  <si>
    <t>t3B356tE227A$2</t>
  </si>
  <si>
    <t>t9C719$1</t>
  </si>
  <si>
    <t>t51E40t5DE2D</t>
  </si>
  <si>
    <t>t08$1</t>
  </si>
  <si>
    <t>t0$0</t>
  </si>
  <si>
    <t>inc</t>
  </si>
  <si>
    <t>t5DA56$1</t>
  </si>
  <si>
    <t>tB4F5A$1</t>
  </si>
  <si>
    <t>t386E9$1</t>
  </si>
  <si>
    <t>t73889$1</t>
  </si>
  <si>
    <t>t10C69t5546FtD11B9tEF254$4</t>
  </si>
  <si>
    <t>tE4A$1</t>
  </si>
  <si>
    <t>t986BE$1</t>
  </si>
  <si>
    <t>t628C6$1</t>
  </si>
  <si>
    <t>t688B4t7528E$2</t>
  </si>
  <si>
    <t>tC24A4$1</t>
  </si>
  <si>
    <t>t5A5FA$1</t>
  </si>
  <si>
    <t>tDEAC4$1</t>
  </si>
  <si>
    <t>tBE913$1</t>
  </si>
  <si>
    <t>t126F9t426D0tBA094tEF92C$4</t>
  </si>
  <si>
    <t>tD99C9$1</t>
  </si>
  <si>
    <t>t5AEEBt9846D$2</t>
  </si>
  <si>
    <t>t64C02$1</t>
  </si>
  <si>
    <t>t2E9AAtE36A6$2</t>
  </si>
  <si>
    <t>t6EF54$1</t>
  </si>
  <si>
    <t>t64D38$1</t>
  </si>
  <si>
    <t>t40603$1</t>
  </si>
  <si>
    <t>t85702$1</t>
  </si>
  <si>
    <t>tD93D8$1</t>
  </si>
  <si>
    <t>t3D857$1</t>
  </si>
  <si>
    <t>t42B3A$1</t>
  </si>
  <si>
    <t>t8D7DB$1</t>
  </si>
  <si>
    <t>t807A0$1</t>
  </si>
  <si>
    <t>t3508A$1</t>
  </si>
  <si>
    <t>t7054F$1</t>
  </si>
  <si>
    <t>t21CECt45C0FtDD9E3$3</t>
  </si>
  <si>
    <t>t9629C$1</t>
  </si>
  <si>
    <t>t38736$1</t>
  </si>
  <si>
    <t>tB26F4$1</t>
  </si>
  <si>
    <t>t9B545$1</t>
  </si>
  <si>
    <t>tBAE77$1</t>
  </si>
  <si>
    <t>t3BAF3t4BEC6$2</t>
  </si>
  <si>
    <t>t4796C$1</t>
  </si>
  <si>
    <t>t810At64D0A$2</t>
  </si>
  <si>
    <t>t132C3$1</t>
  </si>
  <si>
    <t>t15535$1</t>
  </si>
  <si>
    <t>t5D87t1B92AtF1F12$2</t>
  </si>
  <si>
    <t>t6EE4CtE6C61$3</t>
  </si>
  <si>
    <t>t2E6ACtDCEB0$2</t>
  </si>
  <si>
    <t>t5DA06$1</t>
  </si>
  <si>
    <t>tCE731$1</t>
  </si>
  <si>
    <t>t7D354tE9FA5$2</t>
  </si>
  <si>
    <t>t1DD64t1EAD1$2</t>
  </si>
  <si>
    <t>t525A9$1</t>
  </si>
  <si>
    <t>t3A163$1</t>
  </si>
  <si>
    <t>t357BCt373D2t4821FtA3D78tF15A1$5</t>
  </si>
  <si>
    <t>t30A0E$1</t>
  </si>
  <si>
    <t>t623DCtBB813$2</t>
  </si>
  <si>
    <t>tAE82E$1</t>
  </si>
  <si>
    <t>tD6ED4$1</t>
  </si>
  <si>
    <t>tD8194$1</t>
  </si>
  <si>
    <t>tA1385tAA433$2</t>
  </si>
  <si>
    <t>t4C6E3$1</t>
  </si>
  <si>
    <t>tBE1DD$1</t>
  </si>
  <si>
    <t>t26955tBEE5EtC4E6CtDD8B7$4</t>
  </si>
  <si>
    <t>t1BF16$1</t>
  </si>
  <si>
    <t>t55698$1</t>
  </si>
  <si>
    <t>t47C56$1</t>
  </si>
  <si>
    <t>t2D87tDEAE5$2</t>
  </si>
  <si>
    <t>t88525tCCD26$2</t>
  </si>
  <si>
    <t>t2848tA85FF$2</t>
  </si>
  <si>
    <t>tD28D6$1</t>
  </si>
  <si>
    <t>t4B4D1$1</t>
  </si>
  <si>
    <t>t44050$1</t>
  </si>
  <si>
    <t>tB2AE8$1</t>
  </si>
  <si>
    <t>tB5F34$1</t>
  </si>
  <si>
    <t>t287D5tBFE4B$2</t>
  </si>
  <si>
    <t>t8691AtCA2B9$2</t>
  </si>
  <si>
    <t>tB55FC$1</t>
  </si>
  <si>
    <t>tEFB60$1</t>
  </si>
  <si>
    <t>tA75BF$1</t>
  </si>
  <si>
    <t>t38CAB$1</t>
  </si>
  <si>
    <t>t8AAE$1</t>
  </si>
  <si>
    <t>NON CONVERTITI</t>
  </si>
  <si>
    <t>CONVERTITI</t>
  </si>
  <si>
    <t>t467CBt0t1B984tAC511$2</t>
  </si>
  <si>
    <t>tAE197$1</t>
  </si>
  <si>
    <t>tB1951$1</t>
  </si>
  <si>
    <t>t54729$1</t>
  </si>
  <si>
    <t>t83F2D$1</t>
  </si>
  <si>
    <t>tAAE7A$1</t>
  </si>
  <si>
    <t>t5AE26$1</t>
  </si>
  <si>
    <t>tD230F$1</t>
  </si>
  <si>
    <t>tB64CD$1</t>
  </si>
  <si>
    <t>t473BF$1</t>
  </si>
  <si>
    <t>t14C47$1</t>
  </si>
  <si>
    <t>t435B0$1</t>
  </si>
  <si>
    <t>t44AEFtD105E$2</t>
  </si>
  <si>
    <t>tA8AB3$1</t>
  </si>
  <si>
    <t>tD9C97$1</t>
  </si>
  <si>
    <t>t768F8$1</t>
  </si>
  <si>
    <t>t65150tE1427$2</t>
  </si>
  <si>
    <t>t8644Ft8BF2A$2</t>
  </si>
  <si>
    <t>t60443t83565$2</t>
  </si>
  <si>
    <t>t24FC0$1</t>
  </si>
  <si>
    <t>tC784EtDE563$2</t>
  </si>
  <si>
    <t>t2435C$1</t>
  </si>
  <si>
    <t>tE6325$1</t>
  </si>
  <si>
    <t>t784B$1</t>
  </si>
  <si>
    <t>tD485E$1</t>
  </si>
  <si>
    <t>t82B01tC3E22$2</t>
  </si>
  <si>
    <t>t12459$1</t>
  </si>
  <si>
    <t>tB585F$1</t>
  </si>
  <si>
    <t>t5C7E9$1</t>
  </si>
  <si>
    <t>tE4DE$1</t>
  </si>
  <si>
    <t>tA079E$1</t>
  </si>
  <si>
    <t>tDB357$1</t>
  </si>
  <si>
    <t>tEC1D0$1</t>
  </si>
  <si>
    <t>t7FFE0tC701D$2</t>
  </si>
  <si>
    <t>tDE925$1</t>
  </si>
  <si>
    <t>t7CC5F$1</t>
  </si>
  <si>
    <t>tC2363$1</t>
  </si>
  <si>
    <t>tC1957$1</t>
  </si>
  <si>
    <t>t14E9Ct14F0E$2</t>
  </si>
  <si>
    <t>t5B970tD6FC1$2</t>
  </si>
  <si>
    <t>t3B76DtDD44B$2</t>
  </si>
  <si>
    <t>tC3370$1</t>
  </si>
  <si>
    <t>t82636$1</t>
  </si>
  <si>
    <t>t25B76$1</t>
  </si>
  <si>
    <t>t5D97Et8A689$2</t>
  </si>
  <si>
    <t>t5C5D4tE21DFtEE6A7$3</t>
  </si>
  <si>
    <t>t1F2C9tB079AtCCE29$3</t>
  </si>
  <si>
    <t>t9788C$1</t>
  </si>
  <si>
    <t>t8BCE4$1</t>
  </si>
  <si>
    <t>t5D552$1</t>
  </si>
  <si>
    <t>tBF4DEtD6E26$2</t>
  </si>
  <si>
    <t>t49270t9D4E7$2</t>
  </si>
  <si>
    <t>t5D737t63266$2</t>
  </si>
  <si>
    <t>tE2BBE$1</t>
  </si>
  <si>
    <t>t97C6BtD2BD0$2</t>
  </si>
  <si>
    <t>t6C370tC15F6$2</t>
  </si>
  <si>
    <t>tB8789$1</t>
  </si>
  <si>
    <t>t7EAB9tE4524$2</t>
  </si>
  <si>
    <t>t12807$1</t>
  </si>
  <si>
    <t>t8ACD2tC2215$2</t>
  </si>
  <si>
    <t>t791F5$1</t>
  </si>
  <si>
    <t>t548C0$1</t>
  </si>
  <si>
    <t>t25A5A$1</t>
  </si>
  <si>
    <t>t2C3AA$1</t>
  </si>
  <si>
    <t>tCEF1t18CD2$2</t>
  </si>
  <si>
    <t>t2545E$1</t>
  </si>
  <si>
    <t>t49722t8908A$2</t>
  </si>
  <si>
    <t>t74B4BtB8768$2</t>
  </si>
  <si>
    <t>tAAF9F$1</t>
  </si>
  <si>
    <t>t12D4CtAE029$2</t>
  </si>
  <si>
    <t>t773FEt7A511$2</t>
  </si>
  <si>
    <t>t7558EtF207B$2</t>
  </si>
  <si>
    <t>t53E92$1</t>
  </si>
  <si>
    <t>tB067t23EEE$2</t>
  </si>
  <si>
    <t>tB911D$1</t>
  </si>
  <si>
    <t>t2965D$1</t>
  </si>
  <si>
    <t>t69BDDtAB5DA$2</t>
  </si>
  <si>
    <t>tEB23E$1</t>
  </si>
  <si>
    <t>tD2453$1</t>
  </si>
  <si>
    <t>tB8D$1</t>
  </si>
  <si>
    <t>t159C4tA82F1$2</t>
  </si>
  <si>
    <t>t370F5tB9A88$2</t>
  </si>
  <si>
    <t>tC234$1</t>
  </si>
  <si>
    <t>t25AC4tC2CFF$2</t>
  </si>
  <si>
    <t>t35492$1</t>
  </si>
  <si>
    <t>tEFFC0$1</t>
  </si>
  <si>
    <t>tBC786$1</t>
  </si>
  <si>
    <t>t3212$1</t>
  </si>
  <si>
    <t>tE7857$1</t>
  </si>
  <si>
    <t>tEE802$1</t>
  </si>
  <si>
    <t>tC745B$1</t>
  </si>
  <si>
    <t>t7B3$1</t>
  </si>
  <si>
    <t>t33659t6F5F4t7FF0B$3</t>
  </si>
  <si>
    <t>t49FFE$1</t>
  </si>
  <si>
    <t>t80DEA$1</t>
  </si>
  <si>
    <t>tC735F$1</t>
  </si>
  <si>
    <t>t5F29B$1</t>
  </si>
  <si>
    <t>t520BE$1</t>
  </si>
  <si>
    <t>t523BF$1</t>
  </si>
  <si>
    <t>t9B7D3$1</t>
  </si>
  <si>
    <t>tB1F47$1</t>
  </si>
  <si>
    <t>t705BF$1</t>
  </si>
  <si>
    <t>t90D2FtCE3A9$2</t>
  </si>
  <si>
    <t>tA533C$1</t>
  </si>
  <si>
    <t>t8EAC6tDD873$2</t>
  </si>
  <si>
    <t>tA9C08tC757B$2</t>
  </si>
  <si>
    <t>t8ADC3$1</t>
  </si>
  <si>
    <t>t885DC$1</t>
  </si>
  <si>
    <t>tDB376$1</t>
  </si>
  <si>
    <t>tD14D1$1</t>
  </si>
  <si>
    <t>t40303$1</t>
  </si>
  <si>
    <t>tAD38C$1</t>
  </si>
  <si>
    <t>t2BD8Dt42008$2</t>
  </si>
  <si>
    <t>t60F8D$1</t>
  </si>
  <si>
    <t>tD081C$1</t>
  </si>
  <si>
    <t>t9F267$1</t>
  </si>
  <si>
    <t>tAF319$1</t>
  </si>
  <si>
    <t>t33930$1</t>
  </si>
  <si>
    <t>tD13C4$1</t>
  </si>
  <si>
    <t>t70F9Bt7C74Bt9D27EtC4533$4</t>
  </si>
  <si>
    <t>tempo tra conteggi</t>
  </si>
  <si>
    <t>t0D2Bt0$0</t>
  </si>
  <si>
    <t>K=1</t>
  </si>
  <si>
    <t>K=2</t>
  </si>
  <si>
    <t>K=3</t>
  </si>
  <si>
    <t>K=5</t>
  </si>
  <si>
    <t>t91336tB9212$2</t>
  </si>
  <si>
    <t>t60B51$1</t>
  </si>
  <si>
    <t>cont tot?</t>
  </si>
  <si>
    <t>t215CA$1</t>
  </si>
  <si>
    <t>t54D34$1</t>
  </si>
  <si>
    <t>t6FA48$1</t>
  </si>
  <si>
    <t>t493F4$1</t>
  </si>
  <si>
    <t>t17505$1</t>
  </si>
  <si>
    <t>tE5D06$1</t>
  </si>
  <si>
    <t>tBC80C$1</t>
  </si>
  <si>
    <t>t2676D$1</t>
  </si>
  <si>
    <t>t9A5C9$1</t>
  </si>
  <si>
    <t>t30DB1t779C4t86355$3</t>
  </si>
  <si>
    <t>t8EC35$1</t>
  </si>
  <si>
    <t>t44549t53A58$2</t>
  </si>
  <si>
    <t>t87E28$1</t>
  </si>
  <si>
    <t>t6AB6F$1</t>
  </si>
  <si>
    <t>tE4FA6$1</t>
  </si>
  <si>
    <t>tD0AA6tDF1D3$2</t>
  </si>
  <si>
    <t>tC8406$1</t>
  </si>
  <si>
    <t>t39C5C$1</t>
  </si>
  <si>
    <t>t4830F$1</t>
  </si>
  <si>
    <t>t7BCC0$1</t>
  </si>
  <si>
    <t>t1F9C5t357E9$2</t>
  </si>
  <si>
    <t>t76A4D$1</t>
  </si>
  <si>
    <t>tAC9FC$1</t>
  </si>
  <si>
    <t>t24948$1</t>
  </si>
  <si>
    <t>t55D9C$1</t>
  </si>
  <si>
    <t>tBDFCE$1</t>
  </si>
  <si>
    <t>tE8AB$1</t>
  </si>
  <si>
    <t>t62D43$1</t>
  </si>
  <si>
    <t>t2FE82$1</t>
  </si>
  <si>
    <t>t582C9tBF3CB$2</t>
  </si>
  <si>
    <t>t3EBC2$1</t>
  </si>
  <si>
    <t>t35044$1</t>
  </si>
  <si>
    <t>t6F721$1</t>
  </si>
  <si>
    <t>t8CC6E$1</t>
  </si>
  <si>
    <t>t94918$1</t>
  </si>
  <si>
    <t>tF28AB$1</t>
  </si>
  <si>
    <t>tA3BFB$1</t>
  </si>
  <si>
    <t>t8C139$1</t>
  </si>
  <si>
    <t>tAC9AE$1</t>
  </si>
  <si>
    <t>tB839C$1</t>
  </si>
  <si>
    <t>t57FC8t5C1E1tE3816$3</t>
  </si>
  <si>
    <t>t4DD9B$1</t>
  </si>
  <si>
    <t>t4F7D1$1</t>
  </si>
  <si>
    <t>t9DA1t2B393$2</t>
  </si>
  <si>
    <t>t9A735$1</t>
  </si>
  <si>
    <t>tE1223$1</t>
  </si>
  <si>
    <t>tB78A4$1</t>
  </si>
  <si>
    <t>t9CEDF$1</t>
  </si>
  <si>
    <t>tCD35C$1</t>
  </si>
  <si>
    <t>tB0FED$1</t>
  </si>
  <si>
    <t>tABC89tF2220$2</t>
  </si>
  <si>
    <t>tC4593$1</t>
  </si>
  <si>
    <t>t366C0t49562$2</t>
  </si>
  <si>
    <t>t3AC20$1</t>
  </si>
  <si>
    <t>t4B5C3$1</t>
  </si>
  <si>
    <t>tC15B0$1</t>
  </si>
  <si>
    <t>t4ED76t6C742tD9CE9$3</t>
  </si>
  <si>
    <t>tA9D6tD93A4$2</t>
  </si>
  <si>
    <t>t769CAt79CDD$2</t>
  </si>
  <si>
    <t>tEA582$1</t>
  </si>
  <si>
    <t>t35E0Dt8EC7A$2</t>
  </si>
  <si>
    <t>t431C4$1</t>
  </si>
  <si>
    <t>t38A97$1</t>
  </si>
  <si>
    <t>t69B88$1</t>
  </si>
  <si>
    <t>t5C4BFt94BEFtD6EEC$3</t>
  </si>
  <si>
    <t>t476AEtA8205$2</t>
  </si>
  <si>
    <t>t6F562$1</t>
  </si>
  <si>
    <t>tAB64B$1</t>
  </si>
  <si>
    <t>t86B7E$1</t>
  </si>
  <si>
    <t>t6DEC3$1</t>
  </si>
  <si>
    <t>tD72C0$1</t>
  </si>
  <si>
    <t>t47FE$1</t>
  </si>
  <si>
    <t>tD7774$1</t>
  </si>
  <si>
    <t>t513C2$1</t>
  </si>
  <si>
    <t>tC87FE$1</t>
  </si>
  <si>
    <t>tCAB02$1</t>
  </si>
  <si>
    <t>t6C262$1</t>
  </si>
  <si>
    <t>t2C1FB$1</t>
  </si>
  <si>
    <t>tABC40$1</t>
  </si>
  <si>
    <t>tD32BtB5443$2</t>
  </si>
  <si>
    <t>t84037$1</t>
  </si>
  <si>
    <t>tAEDD9$1</t>
  </si>
  <si>
    <t>tB401F$1</t>
  </si>
  <si>
    <t>tEADFF$1</t>
  </si>
  <si>
    <t>tA2E20$1</t>
  </si>
  <si>
    <t>t295A4tB5808$2</t>
  </si>
  <si>
    <t>t1C17DtE6EDB$2</t>
  </si>
  <si>
    <t>tDC2E4tEFFCA$2</t>
  </si>
  <si>
    <t>t6C7BtDC90t63820$3</t>
  </si>
  <si>
    <t>t7BA64tAD87C$2</t>
  </si>
  <si>
    <t>tA6A7F$1</t>
  </si>
  <si>
    <t>t23A2Bt8B763$2</t>
  </si>
  <si>
    <t>tDFC8tAC18E$2</t>
  </si>
  <si>
    <t>t950F9$1</t>
  </si>
  <si>
    <t>tE95E1$1</t>
  </si>
  <si>
    <t>tDF772$1</t>
  </si>
  <si>
    <t>tA2D50$1</t>
  </si>
  <si>
    <t>t22785$1</t>
  </si>
  <si>
    <t>tB5B1E$1</t>
  </si>
  <si>
    <t>tBD1B$1</t>
  </si>
  <si>
    <t>t5B9AD$1</t>
  </si>
  <si>
    <t>t3E39D$1</t>
  </si>
  <si>
    <t>t5E83A$1</t>
  </si>
  <si>
    <t>tB88F6$1</t>
  </si>
  <si>
    <t>t303FD$1</t>
  </si>
  <si>
    <t>t7E751$1</t>
  </si>
  <si>
    <t>t3EB64tB532B$2</t>
  </si>
  <si>
    <t>t63B8B$1</t>
  </si>
  <si>
    <t>t34CC0$1</t>
  </si>
  <si>
    <t>t2ED66$1</t>
  </si>
  <si>
    <t>t8842DtF20DA$2</t>
  </si>
  <si>
    <t>t5996D$1</t>
  </si>
  <si>
    <t>t31123t734B8$2</t>
  </si>
  <si>
    <t>t718D0$1</t>
  </si>
  <si>
    <t>t8DE4E$1</t>
  </si>
  <si>
    <t>t9AF77$1</t>
  </si>
  <si>
    <t>tB0546$1</t>
  </si>
  <si>
    <t>t2ABDEtEB63F$2</t>
  </si>
  <si>
    <t>t5C434$1</t>
  </si>
  <si>
    <t>t29898t45432$2</t>
  </si>
  <si>
    <t>tCF409$1</t>
  </si>
  <si>
    <t>t2EE63$1</t>
  </si>
  <si>
    <t>t3953E$1</t>
  </si>
  <si>
    <t>tBEBAF$1</t>
  </si>
  <si>
    <t>t23D3E$1</t>
  </si>
  <si>
    <t>t25090$1</t>
  </si>
  <si>
    <t>t17C64t3AB8Ct64D4CtE4006$4</t>
  </si>
  <si>
    <t>t82334tC8C64$2</t>
  </si>
  <si>
    <t>t654D1$1</t>
  </si>
  <si>
    <t>t5DF33$1</t>
  </si>
  <si>
    <t>t54E58$1</t>
  </si>
  <si>
    <t>tAE597$1</t>
  </si>
  <si>
    <t>t85960$1</t>
  </si>
  <si>
    <t>tDC51$1</t>
  </si>
  <si>
    <t>t50EF2t82259$2</t>
  </si>
  <si>
    <t>t15C4A$1</t>
  </si>
  <si>
    <t>t4D5A4$1</t>
  </si>
  <si>
    <t>t2674DtF14C4$2</t>
  </si>
  <si>
    <t>tF38B7$1</t>
  </si>
  <si>
    <t>t9184AtB0568$2</t>
  </si>
  <si>
    <t>t52A15$1</t>
  </si>
  <si>
    <t>t1CF1$1</t>
  </si>
  <si>
    <t>t30761$1</t>
  </si>
  <si>
    <t>t12C5B$1</t>
  </si>
  <si>
    <t>t40E2A$1</t>
  </si>
  <si>
    <t>t2BFC4$1</t>
  </si>
  <si>
    <t>t11855tDB1EA$2</t>
  </si>
  <si>
    <t>tD4B2A$1</t>
  </si>
  <si>
    <t>t7EB37$1</t>
  </si>
  <si>
    <t>tA8003$1</t>
  </si>
  <si>
    <t>t7E351$1</t>
  </si>
  <si>
    <t>tD03D1$1</t>
  </si>
  <si>
    <t>tC42FB$1</t>
  </si>
  <si>
    <t>t6687A$1</t>
  </si>
  <si>
    <t>t8A2E7$1</t>
  </si>
  <si>
    <t>t164A0tD59A3$2</t>
  </si>
  <si>
    <t>t2123DtC0C8B$2</t>
  </si>
  <si>
    <t>tC9CD1$1</t>
  </si>
  <si>
    <t>t45D9$1</t>
  </si>
  <si>
    <t>t48239$1</t>
  </si>
  <si>
    <t>t35FC2t3A6ECtF06D0$3</t>
  </si>
  <si>
    <t>t16C6E$1</t>
  </si>
  <si>
    <t>tE06C$1</t>
  </si>
  <si>
    <t>t45729tE3E76$2</t>
  </si>
  <si>
    <t>t1ED65$1</t>
  </si>
  <si>
    <t>t32DF7$1</t>
  </si>
  <si>
    <t>t8F05F$1</t>
  </si>
  <si>
    <t>tA09DA$1</t>
  </si>
  <si>
    <t>t52DE2tCC36F$2</t>
  </si>
  <si>
    <t>t35824$1</t>
  </si>
  <si>
    <t>t13F93t40179$2</t>
  </si>
  <si>
    <t>t812C6$1</t>
  </si>
  <si>
    <t>tA1E16$1</t>
  </si>
  <si>
    <t>t6DE4C$1</t>
  </si>
  <si>
    <t>t51DF8$1</t>
  </si>
  <si>
    <t>t59B2B$1</t>
  </si>
  <si>
    <t>t28A2At80772tA4FA8$3</t>
  </si>
  <si>
    <t>t83EE$1</t>
  </si>
  <si>
    <t>t17C26tD4A68$2</t>
  </si>
  <si>
    <t>tEEFD7$1</t>
  </si>
  <si>
    <t>t3D397tA6A5BtAE1CC$3</t>
  </si>
  <si>
    <t>t3FBBB$1</t>
  </si>
  <si>
    <t>t5799C$1</t>
  </si>
  <si>
    <t>t7D015t8717B$2</t>
  </si>
  <si>
    <t>t41A6B$1</t>
  </si>
  <si>
    <t>t451D1$1</t>
  </si>
  <si>
    <t>t21CE$1</t>
  </si>
  <si>
    <t>tE90D4$1</t>
  </si>
  <si>
    <t>t34118t70D2C$2</t>
  </si>
  <si>
    <t>tB24CC$1</t>
  </si>
  <si>
    <t>t72DBA$1</t>
  </si>
  <si>
    <t>t2ACC4$1</t>
  </si>
  <si>
    <t>t46111$1</t>
  </si>
  <si>
    <t>t3816Et8DB75$2</t>
  </si>
  <si>
    <t>t7FCCDtD6C3B$2</t>
  </si>
  <si>
    <t>t103D$1</t>
  </si>
  <si>
    <t>t12284$1</t>
  </si>
  <si>
    <t>t84648$1</t>
  </si>
  <si>
    <t>t488F$1</t>
  </si>
  <si>
    <t>t6A378$1</t>
  </si>
  <si>
    <t>tCD1EAtEB2DB$2</t>
  </si>
  <si>
    <t>t4F818t84244tB1D8B$3</t>
  </si>
  <si>
    <t>tE1171$1</t>
  </si>
  <si>
    <t>tE7FCD$1</t>
  </si>
  <si>
    <t>t7899F$1</t>
  </si>
  <si>
    <t>tC7621$1</t>
  </si>
  <si>
    <t>t2CBAF$1</t>
  </si>
  <si>
    <t>tA54D0$1</t>
  </si>
  <si>
    <t>tAC374$1</t>
  </si>
  <si>
    <t>t93886$1</t>
  </si>
  <si>
    <t>t7BE54$1</t>
  </si>
  <si>
    <t>t46C3E$1</t>
  </si>
  <si>
    <t>t1C00A$1</t>
  </si>
  <si>
    <t>t1CBF7$1</t>
  </si>
  <si>
    <t>t1BE2E$1</t>
  </si>
  <si>
    <t>t6120F$1</t>
  </si>
  <si>
    <t>tA9742$1</t>
  </si>
  <si>
    <t>t1105tECF67$2</t>
  </si>
  <si>
    <t>t41C91tA33C0$2</t>
  </si>
  <si>
    <t>tBE4F7$1</t>
  </si>
  <si>
    <t>t86FAD$1</t>
  </si>
  <si>
    <t>t4ADD9$1</t>
  </si>
  <si>
    <t>t137Dt24DD9$1</t>
  </si>
  <si>
    <t>tA27FB$1</t>
  </si>
  <si>
    <t>t79490$1</t>
  </si>
  <si>
    <t>t70593tD5617$2</t>
  </si>
  <si>
    <t>t6565C$1</t>
  </si>
  <si>
    <t>t37176$1</t>
  </si>
  <si>
    <t>t636DE$1</t>
  </si>
  <si>
    <t>t4F141$1</t>
  </si>
  <si>
    <t>t15902$1</t>
  </si>
  <si>
    <t>t2A51C$1</t>
  </si>
  <si>
    <t>t5884E$1</t>
  </si>
  <si>
    <t>tB27CE$1</t>
  </si>
  <si>
    <t>t24F9B$1</t>
  </si>
  <si>
    <t>t9DA13$1</t>
  </si>
  <si>
    <t>t2A820t9D12DtA3767$3</t>
  </si>
  <si>
    <t>t11F4$1</t>
  </si>
  <si>
    <t>tB9AFD$1</t>
  </si>
  <si>
    <t>t21352$1</t>
  </si>
  <si>
    <t>t7C605tBBF65$2</t>
  </si>
  <si>
    <t>t2F65$1</t>
  </si>
  <si>
    <t>t4B00A$1</t>
  </si>
  <si>
    <t>t305AtCE96B$2</t>
  </si>
  <si>
    <t>t40FD2$1</t>
  </si>
  <si>
    <t>t9E66DtBA938$2</t>
  </si>
  <si>
    <t>t67FE1$1</t>
  </si>
  <si>
    <t>t44245$1</t>
  </si>
  <si>
    <t>t548E9$1</t>
  </si>
  <si>
    <t>t1CACA$1</t>
  </si>
  <si>
    <t>t3E95B$1</t>
  </si>
  <si>
    <t>t128FBt8DE44$2</t>
  </si>
  <si>
    <t>t7AEA1$1</t>
  </si>
  <si>
    <t>t9E089tA7C47$2</t>
  </si>
  <si>
    <t>t81DF6$1</t>
  </si>
  <si>
    <t>t1EF1$1</t>
  </si>
  <si>
    <t>t0</t>
  </si>
  <si>
    <t xml:space="preserve">rate </t>
  </si>
  <si>
    <t>tBF0$1</t>
  </si>
  <si>
    <t>tBBEDF$1</t>
  </si>
  <si>
    <t>cont tot</t>
  </si>
  <si>
    <t>tCF47B$1</t>
  </si>
  <si>
    <t>t44716$1</t>
  </si>
  <si>
    <t>t4F583t95345$2</t>
  </si>
  <si>
    <t>tD836C$1</t>
  </si>
  <si>
    <t>t1F15F$1</t>
  </si>
  <si>
    <t>t53379$1</t>
  </si>
  <si>
    <t>t3F220$1</t>
  </si>
  <si>
    <t>tB03E0$1</t>
  </si>
  <si>
    <t>t77180$1</t>
  </si>
  <si>
    <t>tF1AC2$1</t>
  </si>
  <si>
    <t>t8A894t9D67A$2</t>
  </si>
  <si>
    <t>t2A449tF3979$2</t>
  </si>
  <si>
    <t>t50B5Et91CB8$2</t>
  </si>
  <si>
    <t>t52AD7$1</t>
  </si>
  <si>
    <t>t794A7$1</t>
  </si>
  <si>
    <t>t28FAE$1</t>
  </si>
  <si>
    <t>t18DEA$1</t>
  </si>
  <si>
    <t>t7023B$1</t>
  </si>
  <si>
    <t>t5A664$1</t>
  </si>
  <si>
    <t>t4A7CB$1</t>
  </si>
  <si>
    <t>tD19A4$1</t>
  </si>
  <si>
    <t>tA6084$1</t>
  </si>
  <si>
    <t>t59519$1</t>
  </si>
  <si>
    <t>tF069$1</t>
  </si>
  <si>
    <t>tF01A0$1</t>
  </si>
  <si>
    <t>t19141tAFB39$2</t>
  </si>
  <si>
    <t>t5AAA7$1</t>
  </si>
  <si>
    <t>tC2D75$1</t>
  </si>
  <si>
    <t>t1DDE$1</t>
  </si>
  <si>
    <t>t8AD20$1</t>
  </si>
  <si>
    <t>tA3082$1</t>
  </si>
  <si>
    <t>t6E393$1</t>
  </si>
  <si>
    <t>tE3811$1</t>
  </si>
  <si>
    <t>t113BBt7EA37$2</t>
  </si>
  <si>
    <t>t4D20A$1</t>
  </si>
  <si>
    <t>tCD431$1</t>
  </si>
  <si>
    <t>tDEF58$1</t>
  </si>
  <si>
    <t>tB5482$1</t>
  </si>
  <si>
    <t>t45A1E$1</t>
  </si>
  <si>
    <t>t6E455t713CA$2</t>
  </si>
  <si>
    <t>t825BF$1</t>
  </si>
  <si>
    <t>tD2FFD$1</t>
  </si>
  <si>
    <t>tFE0Ct1AE61t380DD$3</t>
  </si>
  <si>
    <t>t5674CtE66E0$2</t>
  </si>
  <si>
    <t>t87915$1</t>
  </si>
  <si>
    <t>tB43DB$1</t>
  </si>
  <si>
    <t>tBB6D2$1</t>
  </si>
  <si>
    <t>t5C685tB3A71$2</t>
  </si>
  <si>
    <t>t9CD9D$1</t>
  </si>
  <si>
    <t>t7BB67$1</t>
  </si>
  <si>
    <t>t6F601$1</t>
  </si>
  <si>
    <t>t89$1</t>
  </si>
  <si>
    <t>t94531$1</t>
  </si>
  <si>
    <t>tAFCtC9FDE$2</t>
  </si>
  <si>
    <t>t38502$1</t>
  </si>
  <si>
    <t>t9708FtC663B$2</t>
  </si>
  <si>
    <t>t7AF10$1</t>
  </si>
  <si>
    <t>t6ADCE$1</t>
  </si>
  <si>
    <t>tE0E00$1</t>
  </si>
  <si>
    <t>tDBF88$1</t>
  </si>
  <si>
    <t>t1258D$1</t>
  </si>
  <si>
    <t>tCCBD3$1</t>
  </si>
  <si>
    <t>tDEED3$1</t>
  </si>
  <si>
    <t>t8172C$1</t>
  </si>
  <si>
    <t>t58031$1</t>
  </si>
  <si>
    <t>t1A937$1</t>
  </si>
  <si>
    <t>t278D7$1</t>
  </si>
  <si>
    <t>tD2643$1</t>
  </si>
  <si>
    <t>tED0B2$1</t>
  </si>
  <si>
    <t>t9DE4AtAB483$2</t>
  </si>
  <si>
    <t>tF1250$1</t>
  </si>
  <si>
    <t>tF0F40$1</t>
  </si>
  <si>
    <t>t36BBFt910D1$2</t>
  </si>
  <si>
    <t>t2A809$1</t>
  </si>
  <si>
    <t>t43C18$1</t>
  </si>
  <si>
    <t>t45FA1$1</t>
  </si>
  <si>
    <t>tB2B91$1</t>
  </si>
  <si>
    <t>t30BB4tA1F47$2</t>
  </si>
  <si>
    <t>t16510$1</t>
  </si>
  <si>
    <t>t5CF58$1</t>
  </si>
  <si>
    <t>tC36FA$1</t>
  </si>
  <si>
    <t>t8D772tE1917$2</t>
  </si>
  <si>
    <t>t8FEE5tD93AB$2</t>
  </si>
  <si>
    <t>t7C1B0$1</t>
  </si>
  <si>
    <t>t90C7BtD9CDF$2</t>
  </si>
  <si>
    <t>t61549tDA48E$2</t>
  </si>
  <si>
    <t>t71AD5tEFDDA$2</t>
  </si>
  <si>
    <t>t66B63t6E80B$2</t>
  </si>
  <si>
    <t>t61176$1</t>
  </si>
  <si>
    <t>t8B80F$1</t>
  </si>
  <si>
    <t>t1A627$1</t>
  </si>
  <si>
    <t>t64DA7$1</t>
  </si>
  <si>
    <t>tF356C$1</t>
  </si>
  <si>
    <t>t68017$1</t>
  </si>
  <si>
    <t>t2D8CD$1</t>
  </si>
  <si>
    <t>t84700$1</t>
  </si>
  <si>
    <t>tC32EE$1</t>
  </si>
  <si>
    <t>t1A7F7$1</t>
  </si>
  <si>
    <t>t24CBF$1</t>
  </si>
  <si>
    <t>tC10A5$1</t>
  </si>
  <si>
    <t>t74261tA3FD5$2</t>
  </si>
  <si>
    <t>t70412$1</t>
  </si>
  <si>
    <t>t48960$1</t>
  </si>
  <si>
    <t>t86689$1</t>
  </si>
  <si>
    <t>tB7F5C$1</t>
  </si>
  <si>
    <t>t20C12t4BE07t7A4ECt98E82$4</t>
  </si>
  <si>
    <t>t4BBEA$1</t>
  </si>
  <si>
    <t>tC8921$1</t>
  </si>
  <si>
    <t>t17342$1</t>
  </si>
  <si>
    <t>tCEB81$1</t>
  </si>
  <si>
    <t>t2F82AtA0F33tC022D$3</t>
  </si>
  <si>
    <t>t9A6BD$1</t>
  </si>
  <si>
    <t>t700CC$1</t>
  </si>
  <si>
    <t>tCB2tD9BC9$2</t>
  </si>
  <si>
    <t>t8B025$1</t>
  </si>
  <si>
    <t>tBBB94$1</t>
  </si>
  <si>
    <t>t1D00Et89540$2</t>
  </si>
  <si>
    <t>t80E10tCB69E$2</t>
  </si>
  <si>
    <t>t43782$1</t>
  </si>
  <si>
    <t>t7D8AD$1</t>
  </si>
  <si>
    <t>tD66EA$1</t>
  </si>
  <si>
    <t>t7AE18$1</t>
  </si>
  <si>
    <t>tDDFEA$1</t>
  </si>
  <si>
    <t>tAA1C4$1</t>
  </si>
  <si>
    <t>t42980tCD879$2</t>
  </si>
  <si>
    <t>t19E0t58B29$2</t>
  </si>
  <si>
    <t>t93F1$1</t>
  </si>
  <si>
    <t>t27995$1</t>
  </si>
  <si>
    <t>t1D7A9$1</t>
  </si>
  <si>
    <t>t38767t9FB3C$2</t>
  </si>
  <si>
    <t>t31F61$1</t>
  </si>
  <si>
    <t>tCA597$1</t>
  </si>
  <si>
    <t>t48BF3$1</t>
  </si>
  <si>
    <t>tD762B$1</t>
  </si>
  <si>
    <t>t4EDA4$1</t>
  </si>
  <si>
    <t>tDC46B$1</t>
  </si>
  <si>
    <t>t3B33Ft86043$2</t>
  </si>
  <si>
    <t>t14742$1</t>
  </si>
  <si>
    <t>t521A$1</t>
  </si>
  <si>
    <t>t56444$1</t>
  </si>
  <si>
    <t>t6CC93$1</t>
  </si>
  <si>
    <t>t8688B$1</t>
  </si>
  <si>
    <t>t23022$1</t>
  </si>
  <si>
    <t>t443B$1</t>
  </si>
  <si>
    <t>t5C46B$1</t>
  </si>
  <si>
    <t>tD0E9A$1</t>
  </si>
  <si>
    <t>t3736$1</t>
  </si>
  <si>
    <t>t34A2B$1</t>
  </si>
  <si>
    <t>t97799$1</t>
  </si>
  <si>
    <t>t1B2E2$1</t>
  </si>
  <si>
    <t>t4E377$1</t>
  </si>
  <si>
    <t>tDCB1E$1</t>
  </si>
  <si>
    <t>t1A7A2$1</t>
  </si>
  <si>
    <t>t2C903$1</t>
  </si>
  <si>
    <t>t15333$1</t>
  </si>
  <si>
    <t>t7CADAtAF59A$2</t>
  </si>
  <si>
    <t>t496D3$1</t>
  </si>
  <si>
    <t>t5F6DA$1</t>
  </si>
  <si>
    <t>t6ADDEt8C6A9$2</t>
  </si>
  <si>
    <t>t79F37$1</t>
  </si>
  <si>
    <t>t41C4A$1</t>
  </si>
  <si>
    <t>tEE553$1</t>
  </si>
  <si>
    <t>t2BA21$1</t>
  </si>
  <si>
    <t>t1AEC0$1</t>
  </si>
  <si>
    <t>t6C8A9$1</t>
  </si>
  <si>
    <t>t8BE01$1</t>
  </si>
  <si>
    <t>t797B1$1</t>
  </si>
  <si>
    <t>t94B7t80077t9E281$3</t>
  </si>
  <si>
    <t>t863DD$1</t>
  </si>
  <si>
    <t>t77BDB$1</t>
  </si>
  <si>
    <t>t86044$1</t>
  </si>
  <si>
    <t>t4A1D1tC45D6$2</t>
  </si>
  <si>
    <t>t94533$1</t>
  </si>
  <si>
    <t>tF30D2$1</t>
  </si>
  <si>
    <t>t3396D$1</t>
  </si>
  <si>
    <t>t606E9$1</t>
  </si>
  <si>
    <t>t26708$1</t>
  </si>
  <si>
    <t>tA9F18$1</t>
  </si>
  <si>
    <t>t2C076$1</t>
  </si>
  <si>
    <t>t759DF$1</t>
  </si>
  <si>
    <t>tC3BCA$1</t>
  </si>
  <si>
    <t>t5646E$1</t>
  </si>
  <si>
    <t>t71CE7$1</t>
  </si>
  <si>
    <t>tD073A$1</t>
  </si>
  <si>
    <t>t3064B$1</t>
  </si>
  <si>
    <t>t6EDEE$1</t>
  </si>
  <si>
    <t>t1F74Et72870tC58E3$3</t>
  </si>
  <si>
    <t>tDF3AF$1</t>
  </si>
  <si>
    <t>t3E871$1</t>
  </si>
  <si>
    <t>t268AF$1</t>
  </si>
  <si>
    <t>tC5AAC$1</t>
  </si>
  <si>
    <t>tB29A2$1</t>
  </si>
  <si>
    <t>t2FEA3$1</t>
  </si>
  <si>
    <t>tBCC25$1</t>
  </si>
  <si>
    <t>t7AAB1$1</t>
  </si>
  <si>
    <t>t60B09$1</t>
  </si>
  <si>
    <t>t8C733$1</t>
  </si>
  <si>
    <t>tB89B6$1</t>
  </si>
  <si>
    <t>t374D2$1</t>
  </si>
  <si>
    <t>t48FA4$1</t>
  </si>
  <si>
    <t>tB904F$1</t>
  </si>
  <si>
    <t>t739A0$1</t>
  </si>
  <si>
    <t>t81B45$1</t>
  </si>
  <si>
    <t>tF22D8$1</t>
  </si>
  <si>
    <t>tB37At356B0$2</t>
  </si>
  <si>
    <t>tA3D3D$1</t>
  </si>
  <si>
    <t>t45FF0$1</t>
  </si>
  <si>
    <t>t779D4tCAB0A$2</t>
  </si>
  <si>
    <t>tC1458tEE9A8$2</t>
  </si>
  <si>
    <t>t7C7A1$1</t>
  </si>
  <si>
    <t>t1ACDE$1</t>
  </si>
  <si>
    <t>t9DC6A$1</t>
  </si>
  <si>
    <t>t5C654$1</t>
  </si>
  <si>
    <t>t975C9$1</t>
  </si>
  <si>
    <t>t4B8D4$1</t>
  </si>
  <si>
    <t>t2F909$1</t>
  </si>
  <si>
    <t>tEDB23$1</t>
  </si>
  <si>
    <t>t697C9$1</t>
  </si>
  <si>
    <t>t7D26E$1</t>
  </si>
  <si>
    <t>tE1499$1</t>
  </si>
  <si>
    <t>tE3F94$1</t>
  </si>
  <si>
    <t>t143DA$1</t>
  </si>
  <si>
    <t>t59E0C$1</t>
  </si>
  <si>
    <t>t695D3$1</t>
  </si>
  <si>
    <t>t3C8C7$1</t>
  </si>
  <si>
    <t>t0t5D7B2t90383$2</t>
  </si>
  <si>
    <t>lambda</t>
  </si>
  <si>
    <t>t16C0Ct0tEC5D3$1</t>
  </si>
  <si>
    <t>t3C36t4E8C8$2</t>
  </si>
  <si>
    <t>t12366t9869A$2</t>
  </si>
  <si>
    <t>tD3098$1</t>
  </si>
  <si>
    <t>t7121E$1</t>
  </si>
  <si>
    <t>t7879B$1</t>
  </si>
  <si>
    <t>t3CC10$1</t>
  </si>
  <si>
    <t>t60DB6$1</t>
  </si>
  <si>
    <t>t16973$1</t>
  </si>
  <si>
    <t>tA3653tA5514$2</t>
  </si>
  <si>
    <t>tD9C08$1</t>
  </si>
  <si>
    <t>t5477t6A122$2</t>
  </si>
  <si>
    <t>t6FA8B$1</t>
  </si>
  <si>
    <t>t25485t81BF3$2</t>
  </si>
  <si>
    <t>t7BD95tE0F36tE5415$3</t>
  </si>
  <si>
    <t>t6CC2$1</t>
  </si>
  <si>
    <t>t6C488$1</t>
  </si>
  <si>
    <t>t99037$1</t>
  </si>
  <si>
    <t>t1E54$1</t>
  </si>
  <si>
    <t>t97202$1</t>
  </si>
  <si>
    <t>t534A4$1</t>
  </si>
  <si>
    <t>t5ED35tDA0B7$2</t>
  </si>
  <si>
    <t>t828B4$1</t>
  </si>
  <si>
    <t>t740ED$1</t>
  </si>
  <si>
    <t>t22ED2t81F0C$2</t>
  </si>
  <si>
    <t>t8DC4$1</t>
  </si>
  <si>
    <t>t2027$1</t>
  </si>
  <si>
    <t>t4A22$1</t>
  </si>
  <si>
    <t>t42CC$1</t>
  </si>
  <si>
    <t>t937B0$1</t>
  </si>
  <si>
    <t>t5BA3F$1</t>
  </si>
  <si>
    <t>t79DA5$1</t>
  </si>
  <si>
    <t>t98566$1</t>
  </si>
  <si>
    <t>t1915B$1</t>
  </si>
  <si>
    <t>t15052t345EEt3839A$3</t>
  </si>
  <si>
    <t>tF2021$1</t>
  </si>
  <si>
    <t>t49880$1</t>
  </si>
  <si>
    <t>t3A691$1</t>
  </si>
  <si>
    <t>t44607t518C3$2</t>
  </si>
  <si>
    <t>t4BAA3$1</t>
  </si>
  <si>
    <t>t28B25$1</t>
  </si>
  <si>
    <t>t44DF7tA1AF7tBB28C$3</t>
  </si>
  <si>
    <t>tDCA11$1</t>
  </si>
  <si>
    <t>tA8426$1</t>
  </si>
  <si>
    <t>t47B73$1</t>
  </si>
  <si>
    <t>tDF22F$1</t>
  </si>
  <si>
    <t>t6FF3t52734$2</t>
  </si>
  <si>
    <t>tF1968$1</t>
  </si>
  <si>
    <t>t3E4FC$1</t>
  </si>
  <si>
    <t>t68764$1</t>
  </si>
  <si>
    <t>t1CFCD$1</t>
  </si>
  <si>
    <t>t41852t966B3$2</t>
  </si>
  <si>
    <t>t62562tEC4BA$2</t>
  </si>
  <si>
    <t>tB1215$1</t>
  </si>
  <si>
    <t>tCCB2t104AF$2</t>
  </si>
  <si>
    <t>t43D3t459F2$2</t>
  </si>
  <si>
    <t>t70AD9t71A32$2</t>
  </si>
  <si>
    <t>t43E8B$1</t>
  </si>
  <si>
    <t>tEF37B$1</t>
  </si>
  <si>
    <t>t1C3AB$1</t>
  </si>
  <si>
    <t>t5C7DF$1</t>
  </si>
  <si>
    <t>t72772$1</t>
  </si>
  <si>
    <t>t427DFt5D055t8BC44t9A93C$4</t>
  </si>
  <si>
    <t>tA1563$1</t>
  </si>
  <si>
    <t>t9AF37$1</t>
  </si>
  <si>
    <t>t70798$1</t>
  </si>
  <si>
    <t>t50716t509C7$2</t>
  </si>
  <si>
    <t>tD50E9$1</t>
  </si>
  <si>
    <t>t9D5A1$1</t>
  </si>
  <si>
    <t>t228C6$1</t>
  </si>
  <si>
    <t>t21EED$0</t>
  </si>
  <si>
    <t>t93D27$1</t>
  </si>
  <si>
    <t>t90214tBB196tE3D88$3</t>
  </si>
  <si>
    <t>tB1E0C$1</t>
  </si>
  <si>
    <t>t57B81t8F78C$2</t>
  </si>
  <si>
    <t>t500A8t7104C$2</t>
  </si>
  <si>
    <t>t53965$1</t>
  </si>
  <si>
    <t>t18CC5t2E3AFt7F179$3</t>
  </si>
  <si>
    <t>t93485$1</t>
  </si>
  <si>
    <t>tD66B4$1</t>
  </si>
  <si>
    <t>tB0478$1</t>
  </si>
  <si>
    <t>t9DF54$1</t>
  </si>
  <si>
    <t>tC817t4B065tC9674$3</t>
  </si>
  <si>
    <t>t6160tA4E44tBA639$3</t>
  </si>
  <si>
    <t>t269EFt5532Ct5571F$3</t>
  </si>
  <si>
    <t>t19F42$1</t>
  </si>
  <si>
    <t>t1C041t651F5$2</t>
  </si>
  <si>
    <t>t73BC2$1</t>
  </si>
  <si>
    <t>t8CED6$1</t>
  </si>
  <si>
    <t>t7C42C$1</t>
  </si>
  <si>
    <t>t7FEE4t9D6F5tD73F8$3</t>
  </si>
  <si>
    <t>t7CA71tEDE76$2</t>
  </si>
  <si>
    <t>tE5B55$1</t>
  </si>
  <si>
    <t>tEDF$1</t>
  </si>
  <si>
    <t>t3B4F3tB49B9$2</t>
  </si>
  <si>
    <t>tA3395tB2627$2</t>
  </si>
  <si>
    <t>tE7E7E$1</t>
  </si>
  <si>
    <t>tDD051$1</t>
  </si>
  <si>
    <t>t1C4E4$1</t>
  </si>
  <si>
    <t>tBB9F2$1</t>
  </si>
  <si>
    <t>tE6A88$1</t>
  </si>
  <si>
    <t>t34482$1</t>
  </si>
  <si>
    <t>tD5D64$1</t>
  </si>
  <si>
    <t>t8E3ECtAEE45$2</t>
  </si>
  <si>
    <t>tDF3BD$1</t>
  </si>
  <si>
    <t>tEF428$1</t>
  </si>
  <si>
    <t>t33829$1</t>
  </si>
  <si>
    <t>tDC7B0$1</t>
  </si>
  <si>
    <t>$1</t>
  </si>
  <si>
    <t>tCF2DD$1</t>
  </si>
  <si>
    <t>tCC8C6$1</t>
  </si>
  <si>
    <t>tD3088$1</t>
  </si>
  <si>
    <t>tD33BC$1</t>
  </si>
  <si>
    <t>t69372tEFB39$2</t>
  </si>
  <si>
    <t>t170E2t7EC7CtAC092tB2F02tC27F5tE12D9$6</t>
  </si>
  <si>
    <t>tC8CE7$1</t>
  </si>
  <si>
    <t>t47FEA$1</t>
  </si>
  <si>
    <t>t4B89Dt9C2AF$2</t>
  </si>
  <si>
    <t>t3F040t926D2$2</t>
  </si>
  <si>
    <t>t894F9$1</t>
  </si>
  <si>
    <t>t42DB1tEB1A2$2</t>
  </si>
  <si>
    <t>t92FA5$1</t>
  </si>
  <si>
    <t>t5B5D6$1</t>
  </si>
  <si>
    <t>t1B5B7$1</t>
  </si>
  <si>
    <t>t11517$1</t>
  </si>
  <si>
    <t>tBA46A$1</t>
  </si>
  <si>
    <t>t1E449tA747F$2</t>
  </si>
  <si>
    <t>t33A38t5465A$2</t>
  </si>
  <si>
    <t>tA3534$1</t>
  </si>
  <si>
    <t>t7B849$1</t>
  </si>
  <si>
    <t>t8A98B$1</t>
  </si>
  <si>
    <t>t825D4tD12FBtED713$3</t>
  </si>
  <si>
    <t>t612B4$1</t>
  </si>
  <si>
    <t>t8F516$1</t>
  </si>
  <si>
    <t>tECAAA$1</t>
  </si>
  <si>
    <t>tECB95$1</t>
  </si>
  <si>
    <t>t7CD42$1</t>
  </si>
  <si>
    <t>t44C15$1</t>
  </si>
  <si>
    <t>t6D55AtD271B$2</t>
  </si>
  <si>
    <t>t4401A$1</t>
  </si>
  <si>
    <t>tB09EC$1</t>
  </si>
  <si>
    <t>t71FB2tB7886tC9D2F$3</t>
  </si>
  <si>
    <t>t444E3$1</t>
  </si>
  <si>
    <t>tDB652tE1327$2</t>
  </si>
  <si>
    <t>tD1A4t2FE02$2</t>
  </si>
  <si>
    <t>tE2ADC$1</t>
  </si>
  <si>
    <t>t895E3t8B492$2</t>
  </si>
  <si>
    <t>t6E051t9229A$2</t>
  </si>
  <si>
    <t>t3A2E7$1</t>
  </si>
  <si>
    <t>t46BBE$1</t>
  </si>
  <si>
    <t>t67535$1</t>
  </si>
  <si>
    <t>tF04D4$1</t>
  </si>
  <si>
    <t>t36690tDB551$2</t>
  </si>
  <si>
    <t>t5E755$1</t>
  </si>
  <si>
    <t>t102DC$1</t>
  </si>
  <si>
    <t>t8B89B$1</t>
  </si>
  <si>
    <t>tA0113$1</t>
  </si>
  <si>
    <t>tAE97F$1</t>
  </si>
  <si>
    <t>t1C66C$1</t>
  </si>
  <si>
    <t>t520D2tF07E3$2</t>
  </si>
  <si>
    <t>tB137C$1</t>
  </si>
  <si>
    <t>tBC22t383B0$2</t>
  </si>
  <si>
    <t>t4F216$1</t>
  </si>
  <si>
    <t>tC22C2$1</t>
  </si>
  <si>
    <t>tC6CE7$1</t>
  </si>
  <si>
    <t>t93996$1</t>
  </si>
  <si>
    <t>t496FAt859B4$2</t>
  </si>
  <si>
    <t>tA296B$1</t>
  </si>
  <si>
    <t>t410EA$1</t>
  </si>
  <si>
    <t>t97947tF007F$2</t>
  </si>
  <si>
    <t>t81D2D$1</t>
  </si>
  <si>
    <t>t42057$1</t>
  </si>
  <si>
    <t>tA969B$1</t>
  </si>
  <si>
    <t>t9D995$1</t>
  </si>
  <si>
    <t>t9AB48$1</t>
  </si>
  <si>
    <t>t62D74$1</t>
  </si>
  <si>
    <t>t90E1D$1</t>
  </si>
  <si>
    <t>t3B2A4t58E3Dt7DD62$3</t>
  </si>
  <si>
    <t>t3BFDD$1</t>
  </si>
  <si>
    <t>t6AF60$1</t>
  </si>
  <si>
    <t>t58191$1</t>
  </si>
  <si>
    <t>tAF25CtDFEFF$2</t>
  </si>
  <si>
    <t>t4EA2C$1</t>
  </si>
  <si>
    <t>t94CAtBBF18tD2FFEtDB819$4</t>
  </si>
  <si>
    <t>t344AAt57CDBt81CB3$3</t>
  </si>
  <si>
    <t>t38190$1</t>
  </si>
  <si>
    <t>t8EBE9$1</t>
  </si>
  <si>
    <t>t18F13$1</t>
  </si>
  <si>
    <t>t5E198$1</t>
  </si>
  <si>
    <t>t7784t13D00tA83D9$3</t>
  </si>
  <si>
    <t>t84D8E$1</t>
  </si>
  <si>
    <t>t837FC$1</t>
  </si>
  <si>
    <t>tD695A$1</t>
  </si>
  <si>
    <t>t2BD75tA1A7EtCDE7F$3</t>
  </si>
  <si>
    <t>tC13E2$1</t>
  </si>
  <si>
    <t>t58C33t993C9$2</t>
  </si>
  <si>
    <t>t9C7D9$1</t>
  </si>
  <si>
    <t>t653D5t99315$2</t>
  </si>
  <si>
    <t>t834F3$1</t>
  </si>
  <si>
    <t>t65894t95CD7$2</t>
  </si>
  <si>
    <t>tAD2C0$1</t>
  </si>
  <si>
    <t>t3FEB2$1</t>
  </si>
  <si>
    <t>t4A590t9AEC9t9F5DBtA153E$4</t>
  </si>
  <si>
    <t>t6F82DtE983E$2</t>
  </si>
  <si>
    <t>t98B78$1</t>
  </si>
  <si>
    <t>t9FC4EtEFE6F$2</t>
  </si>
  <si>
    <t>t1CB23t47C3CtC03F3$3</t>
  </si>
  <si>
    <t>tBAD92$1</t>
  </si>
  <si>
    <t>t67DD3$1</t>
  </si>
  <si>
    <t>tBFFD3tCCB4E$2</t>
  </si>
  <si>
    <t>t498F2$1</t>
  </si>
  <si>
    <t>t393B0$1</t>
  </si>
  <si>
    <t>t25DBD$1</t>
  </si>
  <si>
    <t>t4F690$1</t>
  </si>
  <si>
    <t>t4DD8Et7E7BB$2</t>
  </si>
  <si>
    <t>tDBFA5$1</t>
  </si>
  <si>
    <t>tA7E59$1</t>
  </si>
  <si>
    <t>t60C1Ft83211tEE639$3</t>
  </si>
  <si>
    <t>t1C302t3A7A8$2</t>
  </si>
  <si>
    <t>t776DC$1</t>
  </si>
  <si>
    <t>t49994tAF553$2</t>
  </si>
  <si>
    <t>tA0270tBA8F7$2</t>
  </si>
  <si>
    <t>tDA8CF$1</t>
  </si>
  <si>
    <t>t12987$1</t>
  </si>
  <si>
    <t>t5589FtE865C$2</t>
  </si>
  <si>
    <t>t33161$1</t>
  </si>
  <si>
    <t>t2A8CDt84FA4$2</t>
  </si>
  <si>
    <t>t1FA4Ct8DD17$2</t>
  </si>
  <si>
    <t>t62892tCBF1F$2</t>
  </si>
  <si>
    <t>t8FBE6$1</t>
  </si>
  <si>
    <t>t77B9FtC71A8$2</t>
  </si>
  <si>
    <t>t6EFE8tAB0EA$2</t>
  </si>
  <si>
    <t>t5623EtE7068$2</t>
  </si>
  <si>
    <t>tCAD2B$1</t>
  </si>
  <si>
    <t>t15439t5C6F0$2</t>
  </si>
  <si>
    <t>t78F83t8B07Et9E11B$3</t>
  </si>
  <si>
    <t>t635B$1</t>
  </si>
  <si>
    <t>t52571t985EE$2</t>
  </si>
  <si>
    <t>tEFB50$1</t>
  </si>
  <si>
    <t>t122E8$1</t>
  </si>
  <si>
    <t>t28F6Bt53741t8F2C9$3</t>
  </si>
  <si>
    <t>tA1D6E$1</t>
  </si>
  <si>
    <t>t1C786$1</t>
  </si>
  <si>
    <t>tBACC2$1</t>
  </si>
  <si>
    <t>t22CB5t57AB3$2</t>
  </si>
  <si>
    <t>tC1ECA$1</t>
  </si>
  <si>
    <t>t2C6E9t574FAtB046E$3</t>
  </si>
  <si>
    <t>t20CA4$1</t>
  </si>
  <si>
    <t>t75A7E$1</t>
  </si>
  <si>
    <t>t84C9A$1</t>
  </si>
  <si>
    <t>tE47C9$1</t>
  </si>
  <si>
    <t>tD009F$1</t>
  </si>
  <si>
    <t>t19CF$1</t>
  </si>
  <si>
    <t>t34455tB9A0A$2</t>
  </si>
  <si>
    <t>t739AEtD8137tE375B$3</t>
  </si>
  <si>
    <t>t9DCB6$1</t>
  </si>
  <si>
    <t>t6C6D9$1</t>
  </si>
  <si>
    <t>t8D0C4$1</t>
  </si>
  <si>
    <t>tC95CB$1</t>
  </si>
  <si>
    <t>tBE323$1</t>
  </si>
  <si>
    <t>tAE2Et28CFE$2</t>
  </si>
  <si>
    <t>tDBC6D$1</t>
  </si>
  <si>
    <t>t738A6$1</t>
  </si>
  <si>
    <t>t8B64F$1</t>
  </si>
  <si>
    <t>tEB418$1</t>
  </si>
  <si>
    <t>tAE568$1</t>
  </si>
  <si>
    <t>t19887$1</t>
  </si>
  <si>
    <t>tBD8C6$1</t>
  </si>
  <si>
    <t>t77371t8F9A6$2</t>
  </si>
  <si>
    <t>t45209t663B0$2</t>
  </si>
  <si>
    <t>t286D5t86996$2</t>
  </si>
  <si>
    <t>t561D5$1</t>
  </si>
  <si>
    <t>t9E8F7$1</t>
  </si>
  <si>
    <t>t3F5E3t6D637$2</t>
  </si>
  <si>
    <t>tDE973$1</t>
  </si>
  <si>
    <t>t1E90t2A583t51542$3</t>
  </si>
  <si>
    <t>t13CDDt45D35tE754A$3</t>
  </si>
  <si>
    <t>t42489$1</t>
  </si>
  <si>
    <t>tE2A29$1</t>
  </si>
  <si>
    <t>t64531t7FE2CtA2F60tE6C81$4</t>
  </si>
  <si>
    <t>t84341$1</t>
  </si>
  <si>
    <t>tA800A$1</t>
  </si>
  <si>
    <t>t55D6Dt9F17CtB6C6EtBC11F$4</t>
  </si>
  <si>
    <t>t537FD$1</t>
  </si>
  <si>
    <t>t822B5$1</t>
  </si>
  <si>
    <t>t71D46$1</t>
  </si>
  <si>
    <t>tADD0$1</t>
  </si>
  <si>
    <t>t4C9BDtA8D54$2</t>
  </si>
  <si>
    <t>tAF2F8$1</t>
  </si>
  <si>
    <t>t74326tD8EF2$2</t>
  </si>
  <si>
    <t>tBFF4$1</t>
  </si>
  <si>
    <t>tC211D$1</t>
  </si>
  <si>
    <t>t18587$1</t>
  </si>
  <si>
    <t>tC4705$1</t>
  </si>
  <si>
    <t>t9E227$1</t>
  </si>
  <si>
    <t>t43BDB$1</t>
  </si>
  <si>
    <t>t6D616$1</t>
  </si>
  <si>
    <t>t25940$1</t>
  </si>
  <si>
    <t>t11AA9t1CB0D$2</t>
  </si>
  <si>
    <t>t1DFC8tCF129tD32B4$3</t>
  </si>
  <si>
    <t>t77A66$1</t>
  </si>
  <si>
    <t>t43B2t9143A$2</t>
  </si>
  <si>
    <t>tE39B1$1</t>
  </si>
  <si>
    <t>t79388$1</t>
  </si>
  <si>
    <t>t9ED12$1</t>
  </si>
  <si>
    <t>t736E1t75655$2</t>
  </si>
  <si>
    <t>tB7611$1</t>
  </si>
  <si>
    <t>tD639E$1</t>
  </si>
  <si>
    <t>t6BE1FtF3FD0$2</t>
  </si>
  <si>
    <t>t2193Et3F39E$2</t>
  </si>
  <si>
    <t>tB7283$1</t>
  </si>
  <si>
    <t>t3D487$1</t>
  </si>
  <si>
    <t>t33C0AtD8886$2</t>
  </si>
  <si>
    <t>t170A4$1</t>
  </si>
  <si>
    <t>t7DA5D$1</t>
  </si>
  <si>
    <t>t39CE5$1</t>
  </si>
  <si>
    <t>t12553t22EA3$2</t>
  </si>
  <si>
    <t>t671Ct6D055$2</t>
  </si>
  <si>
    <t>tBCB92$1</t>
  </si>
  <si>
    <t>tD0B0$1</t>
  </si>
  <si>
    <t>t6DF3F$1</t>
  </si>
  <si>
    <t>t74FF3$1</t>
  </si>
  <si>
    <t>t9A881tD485B$2</t>
  </si>
  <si>
    <t>t83614$1</t>
  </si>
  <si>
    <t>t622AA$1</t>
  </si>
  <si>
    <t>t35FAF$1</t>
  </si>
  <si>
    <t>t26546t3C4F7t6332Et65522$5</t>
  </si>
  <si>
    <t>t5E637tCD915$2</t>
  </si>
  <si>
    <t>tD0A03$1</t>
  </si>
  <si>
    <t>tEF860$1</t>
  </si>
  <si>
    <t>t67140$1</t>
  </si>
  <si>
    <t>t172EF$1</t>
  </si>
  <si>
    <t>tE212A$1</t>
  </si>
  <si>
    <t>t37C4E$1</t>
  </si>
  <si>
    <t>t4BE47$1</t>
  </si>
  <si>
    <t>t88CECtBE7DA$2</t>
  </si>
  <si>
    <t>tCDEA9$1</t>
  </si>
  <si>
    <t>t7DF3EtD89F4$2</t>
  </si>
  <si>
    <t>t3EE9At67426$2</t>
  </si>
  <si>
    <t>t811FFtE5C19$2</t>
  </si>
  <si>
    <t>t1C962t9723B$2</t>
  </si>
  <si>
    <t>t2F884tE4AF7$2</t>
  </si>
  <si>
    <t>t257D2$1</t>
  </si>
  <si>
    <t>t7C4B8$1</t>
  </si>
  <si>
    <t>tE1416$1</t>
  </si>
  <si>
    <t>tAC7E7tC740A$2</t>
  </si>
  <si>
    <t>t52EEFt7FD62$2</t>
  </si>
  <si>
    <t>tA3A95$1</t>
  </si>
  <si>
    <t>t34C9$1</t>
  </si>
  <si>
    <t>t2130D$1</t>
  </si>
  <si>
    <t>t94B6A$1</t>
  </si>
  <si>
    <t>tA34C0$1</t>
  </si>
  <si>
    <t>t25283tE4622$2</t>
  </si>
  <si>
    <t>tB5024$1</t>
  </si>
  <si>
    <t>t8D2DAtA43A4$2</t>
  </si>
  <si>
    <t>tDCF97$1</t>
  </si>
  <si>
    <t>t71753$1</t>
  </si>
  <si>
    <t>t304E8$1</t>
  </si>
  <si>
    <t>t4982Et8AC57$2</t>
  </si>
  <si>
    <t>t1E3A7$1</t>
  </si>
  <si>
    <t>t21795$1</t>
  </si>
  <si>
    <t>t47A5$1</t>
  </si>
  <si>
    <t>t37375$1</t>
  </si>
  <si>
    <t>t5046Dt99B23tD4DD4$3</t>
  </si>
  <si>
    <t>tE8996$1</t>
  </si>
  <si>
    <t>t3DB40t88FC2$2</t>
  </si>
  <si>
    <t>t6C9FFt87395$2</t>
  </si>
  <si>
    <t>t4EF17t5AAA8</t>
  </si>
  <si>
    <t>r best:</t>
  </si>
  <si>
    <t xml:space="preserve">$\Delta{t}$ [s] </t>
  </si>
  <si>
    <t>Frequenza (0)</t>
  </si>
  <si>
    <t>Frequenza (0+1)</t>
  </si>
  <si>
    <t>Incertezza (0)</t>
  </si>
  <si>
    <t>Incertezza (0+1)</t>
  </si>
  <si>
    <t>Classe di misure</t>
  </si>
  <si>
    <t>T (s)</t>
  </si>
  <si>
    <t>k (conteggi)</t>
  </si>
  <si>
    <t>1s</t>
  </si>
  <si>
    <t>5s</t>
  </si>
  <si>
    <t>Tutte</t>
  </si>
  <si>
    <t>Classe</t>
  </si>
  <si>
    <t>Rate (r)</t>
  </si>
  <si>
    <t>$\sigma_r$</t>
  </si>
  <si>
    <t>Unità</t>
  </si>
  <si>
    <t>Valore atteso</t>
  </si>
  <si>
    <t xml:space="preserve">Deviazione standard </t>
  </si>
  <si>
    <t xml:space="preserve">Mediana </t>
  </si>
  <si>
    <t>Intervallo al 68,3%</t>
  </si>
  <si>
    <t>$\chi^s$</t>
  </si>
  <si>
    <t>s^{-1}</t>
  </si>
  <si>
    <t>[0.3794; 0.5538]</t>
  </si>
  <si>
    <t>s</t>
  </si>
  <si>
    <t>[0.5139; 0.5994]</t>
  </si>
  <si>
    <t xml:space="preserve">Somma di tutte </t>
  </si>
  <si>
    <t>[0.5393; 0.5813]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</si>
</sst>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[$£-809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723900</xdr:colOff>
      <xdr:row>335</xdr:row>
      <xdr:rowOff>66675</xdr:rowOff>
    </xdr:from>
    <xdr:ext cx="5715000" cy="3533775"/>
    <xdr:pic>
      <xdr:nvPicPr>
        <xdr:cNvPr id="1721458633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723900</xdr:colOff>
      <xdr:row>354</xdr:row>
      <xdr:rowOff>38100</xdr:rowOff>
    </xdr:from>
    <xdr:ext cx="5715000" cy="3533775"/>
    <xdr:pic>
      <xdr:nvPicPr>
        <xdr:cNvPr id="975340184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723900</xdr:colOff>
      <xdr:row>373</xdr:row>
      <xdr:rowOff>9525</xdr:rowOff>
    </xdr:from>
    <xdr:ext cx="5715000" cy="3533775"/>
    <xdr:pic>
      <xdr:nvPicPr>
        <xdr:cNvPr id="1531166271" name="Chart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723900</xdr:colOff>
      <xdr:row>391</xdr:row>
      <xdr:rowOff>180975</xdr:rowOff>
    </xdr:from>
    <xdr:ext cx="5715000" cy="3533775"/>
    <xdr:pic>
      <xdr:nvPicPr>
        <xdr:cNvPr id="914058166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4" max="4" width="14.5"/>
    <col customWidth="1" min="10" max="10" width="16.25"/>
  </cols>
  <sheetData>
    <row r="1">
      <c r="A1" s="1" t="s">
        <v>0</v>
      </c>
      <c r="C1" s="1" t="s">
        <v>1</v>
      </c>
      <c r="D1" s="2" t="s">
        <v>2</v>
      </c>
      <c r="E1" s="3" t="s">
        <v>3</v>
      </c>
    </row>
    <row r="2">
      <c r="A2" s="1" t="s">
        <v>4</v>
      </c>
      <c r="B2" s="1">
        <v>3.0</v>
      </c>
      <c r="D2" s="2">
        <v>1.421494</v>
      </c>
      <c r="E2" s="4">
        <v>1.0</v>
      </c>
      <c r="G2" s="1" t="s">
        <v>5</v>
      </c>
      <c r="I2" s="1" t="s">
        <v>6</v>
      </c>
    </row>
    <row r="3">
      <c r="A3" s="1" t="s">
        <v>7</v>
      </c>
      <c r="B3" s="1">
        <v>1.0</v>
      </c>
      <c r="D3" s="2">
        <v>1.680389</v>
      </c>
      <c r="E3" s="4">
        <v>2.0</v>
      </c>
      <c r="G3" s="1">
        <v>0.45</v>
      </c>
      <c r="I3" s="1">
        <f>G3*1</f>
        <v>0.45</v>
      </c>
    </row>
    <row r="4">
      <c r="A4" s="1" t="s">
        <v>8</v>
      </c>
      <c r="B4" s="1">
        <v>1.0</v>
      </c>
      <c r="D4" s="2">
        <v>3.511535</v>
      </c>
      <c r="E4" s="4">
        <v>3.0</v>
      </c>
      <c r="G4" s="1" t="s">
        <v>9</v>
      </c>
    </row>
    <row r="5">
      <c r="A5" s="1" t="s">
        <v>10</v>
      </c>
      <c r="B5" s="1">
        <v>2.0</v>
      </c>
      <c r="D5" s="2">
        <v>4.0</v>
      </c>
      <c r="E5" s="4">
        <v>4.0</v>
      </c>
      <c r="G5" s="5">
        <f>SQRT(27)/60</f>
        <v>0.08660254038</v>
      </c>
      <c r="I5" s="5">
        <f>SQRT(27)/60</f>
        <v>0.08660254038</v>
      </c>
    </row>
    <row r="6">
      <c r="A6" s="6">
        <v>0.0</v>
      </c>
      <c r="B6" s="1">
        <v>0.0</v>
      </c>
      <c r="D6" s="2">
        <v>4.253629</v>
      </c>
      <c r="E6" s="4">
        <v>5.0</v>
      </c>
    </row>
    <row r="7">
      <c r="A7" s="1" t="s">
        <v>11</v>
      </c>
      <c r="B7" s="1">
        <v>0.0</v>
      </c>
      <c r="D7" s="2">
        <v>4.31334</v>
      </c>
      <c r="E7" s="4">
        <v>6.0</v>
      </c>
    </row>
    <row r="8">
      <c r="A8" s="6">
        <v>0.0</v>
      </c>
      <c r="B8" s="1">
        <v>0.0</v>
      </c>
      <c r="D8" s="2">
        <v>6.675542</v>
      </c>
      <c r="E8" s="4">
        <v>7.0</v>
      </c>
      <c r="G8" s="1" t="s">
        <v>12</v>
      </c>
    </row>
    <row r="9">
      <c r="A9" s="6">
        <v>0.0</v>
      </c>
      <c r="B9" s="1">
        <v>0.0</v>
      </c>
      <c r="D9" s="2">
        <v>11.798251</v>
      </c>
      <c r="E9" s="4">
        <v>8.0</v>
      </c>
      <c r="G9" s="5">
        <f>sum(B:B)</f>
        <v>27</v>
      </c>
    </row>
    <row r="10">
      <c r="A10" s="6">
        <v>0.0</v>
      </c>
      <c r="B10" s="1">
        <v>0.0</v>
      </c>
      <c r="D10" s="2">
        <v>14.169961</v>
      </c>
      <c r="E10" s="4">
        <v>9.0</v>
      </c>
    </row>
    <row r="11">
      <c r="A11" s="6">
        <v>0.0</v>
      </c>
      <c r="B11" s="1">
        <v>0.0</v>
      </c>
      <c r="D11" s="2">
        <v>14.418642</v>
      </c>
      <c r="E11" s="4">
        <v>10.0</v>
      </c>
    </row>
    <row r="12">
      <c r="A12" s="1" t="s">
        <v>13</v>
      </c>
      <c r="B12" s="1">
        <v>1.0</v>
      </c>
      <c r="D12" s="2">
        <v>15.492401</v>
      </c>
      <c r="E12" s="4">
        <v>11.0</v>
      </c>
    </row>
    <row r="13">
      <c r="A13" s="6">
        <v>0.0</v>
      </c>
      <c r="B13" s="1">
        <v>0.0</v>
      </c>
      <c r="D13" s="2">
        <v>18.981977</v>
      </c>
      <c r="E13" s="3">
        <v>12.0</v>
      </c>
    </row>
    <row r="14">
      <c r="A14" s="6">
        <v>0.0</v>
      </c>
      <c r="B14" s="1">
        <v>0.0</v>
      </c>
      <c r="D14" s="2">
        <v>20.764777</v>
      </c>
      <c r="E14" s="4">
        <v>13.0</v>
      </c>
    </row>
    <row r="15">
      <c r="A15" s="1" t="s">
        <v>14</v>
      </c>
      <c r="B15" s="1">
        <v>2.0</v>
      </c>
      <c r="D15" s="2">
        <v>21.501081</v>
      </c>
      <c r="E15" s="4">
        <v>14.0</v>
      </c>
    </row>
    <row r="16">
      <c r="A16" s="1" t="s">
        <v>15</v>
      </c>
      <c r="B16" s="1">
        <v>1.0</v>
      </c>
      <c r="D16" s="2">
        <v>22.01659</v>
      </c>
      <c r="E16" s="4">
        <v>15.0</v>
      </c>
    </row>
    <row r="17">
      <c r="A17" s="6">
        <v>0.0</v>
      </c>
      <c r="B17" s="1">
        <v>0.0</v>
      </c>
      <c r="D17" s="2">
        <v>23.013063</v>
      </c>
      <c r="E17" s="4">
        <v>16.0</v>
      </c>
    </row>
    <row r="18">
      <c r="A18" s="6">
        <v>0.0</v>
      </c>
      <c r="B18" s="1">
        <v>0.0</v>
      </c>
      <c r="D18" s="2">
        <v>26.005623</v>
      </c>
      <c r="E18" s="4">
        <v>17.0</v>
      </c>
    </row>
    <row r="19">
      <c r="A19" s="1" t="s">
        <v>16</v>
      </c>
      <c r="B19" s="1">
        <v>1.0</v>
      </c>
      <c r="D19" s="2">
        <v>26.565952</v>
      </c>
      <c r="E19" s="4">
        <v>18.0</v>
      </c>
    </row>
    <row r="20">
      <c r="A20" s="6">
        <v>0.0</v>
      </c>
      <c r="B20" s="1">
        <v>0.0</v>
      </c>
      <c r="D20" s="2">
        <v>29.272995</v>
      </c>
      <c r="E20" s="4">
        <v>19.0</v>
      </c>
    </row>
    <row r="21">
      <c r="A21" s="1" t="s">
        <v>17</v>
      </c>
      <c r="B21" s="1">
        <v>1.0</v>
      </c>
      <c r="D21" s="2">
        <v>33.263188</v>
      </c>
      <c r="E21" s="4">
        <v>20.0</v>
      </c>
    </row>
    <row r="22">
      <c r="A22" s="1" t="s">
        <v>18</v>
      </c>
      <c r="B22" s="1">
        <v>1.0</v>
      </c>
      <c r="D22" s="2">
        <v>36.450365</v>
      </c>
      <c r="E22" s="4">
        <v>21.0</v>
      </c>
    </row>
    <row r="23">
      <c r="A23" s="1" t="s">
        <v>19</v>
      </c>
      <c r="B23" s="1">
        <v>1.0</v>
      </c>
      <c r="D23" s="2">
        <v>37.285648</v>
      </c>
      <c r="E23" s="4">
        <v>22.0</v>
      </c>
    </row>
    <row r="24">
      <c r="A24" s="1" t="s">
        <v>20</v>
      </c>
      <c r="B24" s="1">
        <v>1.0</v>
      </c>
      <c r="D24" s="2">
        <v>43.688361</v>
      </c>
      <c r="E24" s="4">
        <v>23.0</v>
      </c>
    </row>
    <row r="25">
      <c r="A25" s="6">
        <v>0.0</v>
      </c>
      <c r="B25" s="1">
        <v>0.0</v>
      </c>
      <c r="D25" s="2">
        <v>44.665801</v>
      </c>
      <c r="E25" s="4">
        <v>24.0</v>
      </c>
    </row>
    <row r="26">
      <c r="A26" s="6">
        <v>0.0</v>
      </c>
      <c r="B26" s="1">
        <v>0.0</v>
      </c>
      <c r="D26" s="2">
        <v>44.999517</v>
      </c>
      <c r="E26" s="4">
        <v>25.0</v>
      </c>
    </row>
    <row r="27">
      <c r="A27" s="1" t="s">
        <v>21</v>
      </c>
      <c r="B27" s="1">
        <v>2.0</v>
      </c>
      <c r="D27" s="2">
        <v>51.999587</v>
      </c>
      <c r="E27" s="4">
        <v>26.0</v>
      </c>
    </row>
    <row r="28">
      <c r="A28" s="6">
        <v>0.0</v>
      </c>
      <c r="B28" s="1">
        <v>0.0</v>
      </c>
      <c r="D28" s="1">
        <v>56.048849</v>
      </c>
      <c r="E28" s="1">
        <v>27.0</v>
      </c>
    </row>
    <row r="29">
      <c r="A29" s="6">
        <v>0.0</v>
      </c>
      <c r="B29" s="1">
        <v>0.0</v>
      </c>
    </row>
    <row r="30">
      <c r="A30" s="1" t="s">
        <v>22</v>
      </c>
      <c r="B30" s="1">
        <v>1.0</v>
      </c>
    </row>
    <row r="31">
      <c r="A31" s="6">
        <v>0.0</v>
      </c>
      <c r="B31" s="1">
        <v>0.0</v>
      </c>
    </row>
    <row r="32">
      <c r="A32" s="6">
        <v>0.0</v>
      </c>
      <c r="B32" s="1">
        <v>0.0</v>
      </c>
    </row>
    <row r="33">
      <c r="A33" s="6">
        <v>0.0</v>
      </c>
      <c r="B33" s="1">
        <v>0.0</v>
      </c>
    </row>
    <row r="34">
      <c r="A34" s="1" t="s">
        <v>23</v>
      </c>
      <c r="B34" s="1">
        <v>1.0</v>
      </c>
    </row>
    <row r="35">
      <c r="A35" s="6">
        <v>0.0</v>
      </c>
      <c r="B35" s="1">
        <v>0.0</v>
      </c>
    </row>
    <row r="36">
      <c r="A36" s="6">
        <v>0.0</v>
      </c>
      <c r="B36" s="1">
        <v>0.0</v>
      </c>
    </row>
    <row r="37">
      <c r="A37" s="1" t="s">
        <v>24</v>
      </c>
      <c r="B37" s="1">
        <v>1.0</v>
      </c>
    </row>
    <row r="38">
      <c r="A38" s="1" t="s">
        <v>25</v>
      </c>
      <c r="B38" s="1">
        <v>1.0</v>
      </c>
    </row>
    <row r="39">
      <c r="A39" s="6">
        <v>0.0</v>
      </c>
      <c r="B39" s="1">
        <v>0.0</v>
      </c>
    </row>
    <row r="40">
      <c r="A40" s="6">
        <v>0.0</v>
      </c>
      <c r="B40" s="1">
        <v>0.0</v>
      </c>
    </row>
    <row r="41">
      <c r="A41" s="6">
        <v>0.0</v>
      </c>
      <c r="B41" s="1">
        <v>0.0</v>
      </c>
    </row>
    <row r="42">
      <c r="A42" s="6">
        <v>0.0</v>
      </c>
      <c r="B42" s="1">
        <v>0.0</v>
      </c>
    </row>
    <row r="43">
      <c r="A43" s="6">
        <v>0.0</v>
      </c>
      <c r="B43" s="1">
        <v>0.0</v>
      </c>
    </row>
    <row r="44">
      <c r="A44" s="1" t="s">
        <v>26</v>
      </c>
      <c r="B44" s="1">
        <v>1.0</v>
      </c>
    </row>
    <row r="45">
      <c r="A45" s="1" t="s">
        <v>27</v>
      </c>
      <c r="B45" s="1">
        <v>2.0</v>
      </c>
    </row>
    <row r="46">
      <c r="A46" s="6">
        <v>0.0</v>
      </c>
      <c r="B46" s="1">
        <v>0.0</v>
      </c>
    </row>
    <row r="47">
      <c r="A47" s="6">
        <v>0.0</v>
      </c>
      <c r="B47" s="1">
        <v>0.0</v>
      </c>
    </row>
    <row r="48">
      <c r="A48" s="6">
        <v>0.0</v>
      </c>
      <c r="B48" s="1">
        <v>0.0</v>
      </c>
    </row>
    <row r="49">
      <c r="A49" s="6">
        <v>0.0</v>
      </c>
      <c r="B49" s="1">
        <v>0.0</v>
      </c>
    </row>
    <row r="50">
      <c r="A50" s="6">
        <v>0.0</v>
      </c>
      <c r="B50" s="1">
        <v>0.0</v>
      </c>
    </row>
    <row r="51">
      <c r="A51" s="6">
        <v>0.0</v>
      </c>
      <c r="B51" s="1">
        <v>0.0</v>
      </c>
    </row>
    <row r="52">
      <c r="A52" s="1" t="s">
        <v>28</v>
      </c>
      <c r="B52" s="1">
        <v>1.0</v>
      </c>
    </row>
    <row r="53">
      <c r="A53" s="6">
        <v>0.0</v>
      </c>
      <c r="B53" s="1">
        <v>0.0</v>
      </c>
    </row>
    <row r="54">
      <c r="A54" s="6">
        <v>0.0</v>
      </c>
      <c r="B54" s="1">
        <v>0.0</v>
      </c>
    </row>
    <row r="55">
      <c r="A55" s="6">
        <v>0.0</v>
      </c>
      <c r="B55" s="1">
        <v>0.0</v>
      </c>
    </row>
    <row r="56">
      <c r="A56" s="6">
        <v>0.0</v>
      </c>
      <c r="B56" s="1">
        <v>0.0</v>
      </c>
    </row>
    <row r="57">
      <c r="A57" s="1" t="s">
        <v>29</v>
      </c>
      <c r="B57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4" max="4" width="17.38"/>
    <col customWidth="1" min="5" max="5" width="18.25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30</v>
      </c>
    </row>
    <row r="2">
      <c r="A2" s="1" t="s">
        <v>31</v>
      </c>
      <c r="B2" s="1">
        <v>0.0</v>
      </c>
      <c r="D2" s="1">
        <v>1.000001</v>
      </c>
      <c r="E2" s="1">
        <v>1.0</v>
      </c>
      <c r="G2" s="1" t="s">
        <v>32</v>
      </c>
      <c r="H2" s="1" t="s">
        <v>33</v>
      </c>
    </row>
    <row r="3">
      <c r="A3" s="1" t="s">
        <v>34</v>
      </c>
      <c r="B3" s="1">
        <v>0.0</v>
      </c>
      <c r="D3" s="1">
        <v>2.473788</v>
      </c>
      <c r="E3" s="1">
        <v>2.0</v>
      </c>
      <c r="G3" s="5">
        <f>68/120</f>
        <v>0.5666666667</v>
      </c>
      <c r="H3" s="5">
        <f>G3*2</f>
        <v>1.133333333</v>
      </c>
    </row>
    <row r="4">
      <c r="A4" s="1" t="s">
        <v>35</v>
      </c>
      <c r="B4" s="1">
        <v>1.0</v>
      </c>
      <c r="D4" s="1">
        <v>2.512266</v>
      </c>
      <c r="E4" s="1">
        <v>3.0</v>
      </c>
    </row>
    <row r="5">
      <c r="A5" s="1" t="s">
        <v>36</v>
      </c>
      <c r="B5" s="1">
        <v>2.0</v>
      </c>
      <c r="D5" s="1">
        <v>2.0</v>
      </c>
      <c r="E5" s="1">
        <v>4.0</v>
      </c>
      <c r="G5" s="1" t="s">
        <v>9</v>
      </c>
    </row>
    <row r="6">
      <c r="A6" s="1" t="s">
        <v>37</v>
      </c>
      <c r="B6" s="1">
        <v>0.0</v>
      </c>
      <c r="D6" s="1">
        <v>3.578959</v>
      </c>
      <c r="E6" s="1">
        <v>5.0</v>
      </c>
      <c r="G6" s="5">
        <f>SQRT(68)/120</f>
        <v>0.06871842709</v>
      </c>
      <c r="H6" s="5">
        <f>(SQRT(68)*2)/120</f>
        <v>0.1374368542</v>
      </c>
    </row>
    <row r="7">
      <c r="A7" s="1" t="s">
        <v>38</v>
      </c>
      <c r="B7" s="1">
        <v>1.0</v>
      </c>
      <c r="D7" s="1">
        <v>4.342515</v>
      </c>
      <c r="E7" s="1">
        <v>6.0</v>
      </c>
    </row>
    <row r="8">
      <c r="A8" s="1" t="s">
        <v>37</v>
      </c>
      <c r="B8" s="1">
        <v>0.0</v>
      </c>
      <c r="D8" s="1">
        <v>4.93917</v>
      </c>
      <c r="E8" s="1">
        <v>7.0</v>
      </c>
    </row>
    <row r="9">
      <c r="A9" s="1" t="s">
        <v>37</v>
      </c>
      <c r="B9" s="1">
        <v>0.0</v>
      </c>
      <c r="D9" s="1">
        <v>6.844619</v>
      </c>
      <c r="E9" s="1">
        <v>8.0</v>
      </c>
    </row>
    <row r="10">
      <c r="A10" s="1" t="s">
        <v>37</v>
      </c>
      <c r="B10" s="1">
        <v>0.0</v>
      </c>
      <c r="D10" s="1">
        <v>10.062282</v>
      </c>
      <c r="E10" s="1">
        <v>9.0</v>
      </c>
    </row>
    <row r="11">
      <c r="A11" s="1" t="s">
        <v>39</v>
      </c>
      <c r="B11" s="1">
        <v>3.0</v>
      </c>
      <c r="D11" s="1">
        <v>10.730985</v>
      </c>
      <c r="E11" s="1">
        <v>10.0</v>
      </c>
    </row>
    <row r="12">
      <c r="A12" s="1" t="s">
        <v>37</v>
      </c>
      <c r="B12" s="1">
        <v>0.0</v>
      </c>
      <c r="D12" s="1">
        <v>10.741911</v>
      </c>
      <c r="E12" s="1">
        <v>11.0</v>
      </c>
    </row>
    <row r="13">
      <c r="A13" s="1" t="s">
        <v>37</v>
      </c>
      <c r="B13" s="1">
        <v>0.0</v>
      </c>
      <c r="D13" s="1">
        <v>14.22975</v>
      </c>
      <c r="E13" s="1">
        <v>12.0</v>
      </c>
    </row>
    <row r="14">
      <c r="A14" s="1" t="s">
        <v>37</v>
      </c>
      <c r="B14" s="1">
        <v>0.0</v>
      </c>
      <c r="D14" s="1">
        <v>14.909847</v>
      </c>
      <c r="E14" s="1">
        <v>13.0</v>
      </c>
    </row>
    <row r="15">
      <c r="A15" s="1" t="s">
        <v>40</v>
      </c>
      <c r="B15" s="1">
        <v>2.0</v>
      </c>
      <c r="D15" s="1">
        <v>16.485656</v>
      </c>
      <c r="E15" s="1">
        <v>14.0</v>
      </c>
    </row>
    <row r="16">
      <c r="A16" s="1" t="s">
        <v>37</v>
      </c>
      <c r="B16" s="1">
        <v>0.0</v>
      </c>
      <c r="D16" s="1">
        <v>18.626651</v>
      </c>
      <c r="E16" s="1">
        <v>15.0</v>
      </c>
    </row>
    <row r="17">
      <c r="A17" s="1" t="s">
        <v>41</v>
      </c>
      <c r="B17" s="1">
        <v>1.0</v>
      </c>
      <c r="D17" s="1">
        <v>19.277938</v>
      </c>
      <c r="E17" s="1">
        <v>16.0</v>
      </c>
    </row>
    <row r="18">
      <c r="A18" s="1" t="s">
        <v>37</v>
      </c>
      <c r="B18" s="1">
        <v>0.0</v>
      </c>
      <c r="D18" s="1">
        <v>19.490242</v>
      </c>
      <c r="E18" s="1">
        <v>17.0</v>
      </c>
    </row>
    <row r="19">
      <c r="A19" s="1" t="s">
        <v>42</v>
      </c>
      <c r="B19" s="1">
        <v>1.0</v>
      </c>
      <c r="D19" s="1">
        <v>23.020655</v>
      </c>
      <c r="E19" s="1">
        <v>18.0</v>
      </c>
    </row>
    <row r="20">
      <c r="A20" s="1" t="s">
        <v>43</v>
      </c>
      <c r="B20" s="1">
        <v>2.0</v>
      </c>
      <c r="D20" s="1">
        <v>27.699843</v>
      </c>
      <c r="E20" s="1">
        <v>19.0</v>
      </c>
    </row>
    <row r="21">
      <c r="A21" s="1" t="s">
        <v>37</v>
      </c>
      <c r="B21" s="1">
        <v>0.0</v>
      </c>
      <c r="D21" s="1">
        <v>32.235468</v>
      </c>
      <c r="E21" s="1">
        <v>20.0</v>
      </c>
    </row>
    <row r="22">
      <c r="A22" s="1" t="s">
        <v>37</v>
      </c>
      <c r="B22" s="1">
        <v>0.0</v>
      </c>
      <c r="D22" s="1">
        <v>32.770435</v>
      </c>
      <c r="E22" s="1">
        <v>21.0</v>
      </c>
    </row>
    <row r="23">
      <c r="A23" s="1" t="s">
        <v>37</v>
      </c>
      <c r="B23" s="1">
        <v>0.0</v>
      </c>
      <c r="D23" s="1">
        <v>33.211369</v>
      </c>
      <c r="E23" s="1">
        <v>22.0</v>
      </c>
    </row>
    <row r="24">
      <c r="A24" s="1" t="s">
        <v>44</v>
      </c>
      <c r="B24" s="1">
        <v>1.0</v>
      </c>
      <c r="D24" s="1">
        <v>33.269164</v>
      </c>
      <c r="E24" s="1">
        <v>23.0</v>
      </c>
    </row>
    <row r="25">
      <c r="A25" s="1" t="s">
        <v>37</v>
      </c>
      <c r="B25" s="1">
        <v>0.0</v>
      </c>
      <c r="D25" s="1">
        <v>34.07011</v>
      </c>
      <c r="E25" s="1">
        <v>24.0</v>
      </c>
    </row>
    <row r="26">
      <c r="A26" s="1" t="s">
        <v>37</v>
      </c>
      <c r="B26" s="1">
        <v>0.0</v>
      </c>
      <c r="D26" s="1">
        <v>34.371871</v>
      </c>
      <c r="E26" s="1">
        <v>25.0</v>
      </c>
    </row>
    <row r="27">
      <c r="A27" s="1" t="s">
        <v>37</v>
      </c>
      <c r="B27" s="1">
        <v>0.0</v>
      </c>
      <c r="D27" s="1">
        <v>38.353194</v>
      </c>
      <c r="E27" s="1">
        <v>26.0</v>
      </c>
    </row>
    <row r="28">
      <c r="A28" s="1" t="s">
        <v>45</v>
      </c>
      <c r="B28" s="1">
        <v>1.0</v>
      </c>
      <c r="D28" s="1">
        <v>38.413814</v>
      </c>
      <c r="E28" s="1">
        <v>27.0</v>
      </c>
    </row>
    <row r="29">
      <c r="A29" s="1" t="s">
        <v>37</v>
      </c>
      <c r="B29" s="1">
        <v>0.0</v>
      </c>
      <c r="D29" s="1">
        <v>39.813839</v>
      </c>
      <c r="E29" s="1">
        <v>28.0</v>
      </c>
    </row>
    <row r="30">
      <c r="A30" s="1" t="s">
        <v>37</v>
      </c>
      <c r="B30" s="1">
        <v>0.0</v>
      </c>
      <c r="D30" s="1">
        <v>41.452725</v>
      </c>
      <c r="E30" s="1">
        <v>29.0</v>
      </c>
    </row>
    <row r="31">
      <c r="A31" s="1" t="s">
        <v>37</v>
      </c>
      <c r="B31" s="1">
        <v>0.0</v>
      </c>
      <c r="D31" s="1">
        <v>42.950831</v>
      </c>
      <c r="E31" s="1">
        <v>30.0</v>
      </c>
    </row>
    <row r="32">
      <c r="A32" s="1" t="s">
        <v>37</v>
      </c>
      <c r="B32" s="1">
        <v>0.0</v>
      </c>
      <c r="D32" s="1">
        <v>44.358992</v>
      </c>
      <c r="E32" s="1">
        <v>31.0</v>
      </c>
    </row>
    <row r="33">
      <c r="A33" s="1" t="s">
        <v>46</v>
      </c>
      <c r="B33" s="1">
        <v>2.0</v>
      </c>
      <c r="D33" s="1">
        <v>44.395</v>
      </c>
      <c r="E33" s="1">
        <v>32.0</v>
      </c>
    </row>
    <row r="34">
      <c r="A34" s="1" t="s">
        <v>47</v>
      </c>
      <c r="B34" s="1">
        <v>2.0</v>
      </c>
      <c r="D34" s="1">
        <v>44.637805</v>
      </c>
      <c r="E34" s="1">
        <v>33.0</v>
      </c>
    </row>
    <row r="35">
      <c r="A35" s="1" t="s">
        <v>48</v>
      </c>
      <c r="B35" s="1">
        <v>2.0</v>
      </c>
      <c r="D35" s="1">
        <v>46.28889</v>
      </c>
      <c r="E35" s="1">
        <v>34.0</v>
      </c>
    </row>
    <row r="36">
      <c r="A36" s="1" t="s">
        <v>37</v>
      </c>
      <c r="B36" s="1">
        <v>0.0</v>
      </c>
      <c r="D36" s="1">
        <v>48.313549</v>
      </c>
      <c r="E36" s="1">
        <v>35.0</v>
      </c>
    </row>
    <row r="37">
      <c r="A37" s="1" t="s">
        <v>37</v>
      </c>
      <c r="B37" s="1">
        <v>0.0</v>
      </c>
      <c r="D37" s="1">
        <v>50.70061</v>
      </c>
      <c r="E37" s="1">
        <v>36.0</v>
      </c>
    </row>
    <row r="38">
      <c r="A38" s="1" t="s">
        <v>37</v>
      </c>
      <c r="B38" s="1">
        <v>0.0</v>
      </c>
      <c r="D38" s="1">
        <v>51.143073</v>
      </c>
      <c r="E38" s="1">
        <v>37.0</v>
      </c>
    </row>
    <row r="39">
      <c r="A39" s="1" t="s">
        <v>49</v>
      </c>
      <c r="B39" s="1">
        <v>2.0</v>
      </c>
      <c r="D39" s="1">
        <v>55.587103</v>
      </c>
      <c r="E39" s="1">
        <v>38.0</v>
      </c>
    </row>
    <row r="40">
      <c r="A40" s="1" t="s">
        <v>50</v>
      </c>
      <c r="B40" s="1">
        <v>1.0</v>
      </c>
      <c r="D40" s="1">
        <v>58.850457</v>
      </c>
      <c r="E40" s="1">
        <v>39.0</v>
      </c>
    </row>
    <row r="41">
      <c r="A41" s="1" t="s">
        <v>37</v>
      </c>
      <c r="B41" s="1">
        <v>0.0</v>
      </c>
      <c r="D41" s="1">
        <v>60.957321</v>
      </c>
      <c r="E41" s="1">
        <v>40.0</v>
      </c>
    </row>
    <row r="42">
      <c r="A42" s="1" t="s">
        <v>51</v>
      </c>
      <c r="B42" s="1">
        <v>1.0</v>
      </c>
      <c r="D42" s="1">
        <v>63.040417</v>
      </c>
      <c r="E42" s="1">
        <v>41.0</v>
      </c>
    </row>
    <row r="43">
      <c r="A43" s="1" t="s">
        <v>52</v>
      </c>
      <c r="B43" s="1">
        <v>1.0</v>
      </c>
      <c r="D43" s="1">
        <v>64.398275</v>
      </c>
      <c r="E43" s="1">
        <v>42.0</v>
      </c>
    </row>
    <row r="44">
      <c r="A44" s="1" t="s">
        <v>37</v>
      </c>
      <c r="B44" s="1">
        <v>0.0</v>
      </c>
      <c r="D44" s="1">
        <v>68.912625</v>
      </c>
      <c r="E44" s="1">
        <v>43.0</v>
      </c>
    </row>
    <row r="45">
      <c r="A45" s="1" t="s">
        <v>53</v>
      </c>
      <c r="B45" s="1">
        <v>3.0</v>
      </c>
      <c r="D45" s="1">
        <v>69.300684</v>
      </c>
      <c r="E45" s="1">
        <v>44.0</v>
      </c>
    </row>
    <row r="46">
      <c r="A46" s="1" t="s">
        <v>37</v>
      </c>
      <c r="B46" s="1">
        <v>0.0</v>
      </c>
      <c r="D46" s="1">
        <v>70.404805</v>
      </c>
      <c r="E46" s="1">
        <v>45.0</v>
      </c>
    </row>
    <row r="47">
      <c r="A47" s="1" t="s">
        <v>54</v>
      </c>
      <c r="B47" s="1">
        <v>1.0</v>
      </c>
      <c r="D47" s="1">
        <v>74.484506</v>
      </c>
      <c r="E47" s="1">
        <v>46.0</v>
      </c>
    </row>
    <row r="48">
      <c r="A48" s="1" t="s">
        <v>37</v>
      </c>
      <c r="B48" s="1">
        <v>0.0</v>
      </c>
      <c r="D48" s="1">
        <v>75.80027</v>
      </c>
      <c r="E48" s="1">
        <v>47.0</v>
      </c>
    </row>
    <row r="49">
      <c r="A49" s="1" t="s">
        <v>55</v>
      </c>
      <c r="B49" s="1">
        <v>1.0</v>
      </c>
      <c r="D49" s="1">
        <v>77.604932</v>
      </c>
      <c r="E49" s="1">
        <v>48.0</v>
      </c>
    </row>
    <row r="50">
      <c r="A50" s="1" t="s">
        <v>37</v>
      </c>
      <c r="B50" s="1">
        <v>0.0</v>
      </c>
      <c r="D50" s="1">
        <v>85.607088</v>
      </c>
      <c r="E50" s="1">
        <v>49.0</v>
      </c>
    </row>
    <row r="51">
      <c r="A51" s="1" t="s">
        <v>56</v>
      </c>
      <c r="B51" s="1">
        <v>1.0</v>
      </c>
      <c r="D51" s="1">
        <v>86.248</v>
      </c>
      <c r="E51" s="1">
        <v>50.0</v>
      </c>
    </row>
    <row r="52">
      <c r="A52" s="1" t="s">
        <v>57</v>
      </c>
      <c r="B52" s="1">
        <v>1.0</v>
      </c>
      <c r="D52" s="1">
        <v>90.349654</v>
      </c>
      <c r="E52" s="1">
        <v>51.0</v>
      </c>
    </row>
    <row r="53">
      <c r="A53" s="1" t="s">
        <v>37</v>
      </c>
      <c r="B53" s="1">
        <v>0.0</v>
      </c>
      <c r="D53" s="1">
        <v>90.627747</v>
      </c>
      <c r="E53" s="1">
        <v>52.0</v>
      </c>
    </row>
    <row r="54">
      <c r="A54" s="1" t="s">
        <v>37</v>
      </c>
      <c r="B54" s="1">
        <v>0.0</v>
      </c>
      <c r="D54" s="1">
        <v>90.947871</v>
      </c>
      <c r="E54" s="1">
        <v>53.0</v>
      </c>
    </row>
    <row r="55">
      <c r="A55" s="1" t="s">
        <v>37</v>
      </c>
      <c r="B55" s="1">
        <v>0.0</v>
      </c>
      <c r="D55" s="1">
        <v>92.604062</v>
      </c>
      <c r="E55" s="1">
        <v>54.0</v>
      </c>
    </row>
    <row r="56">
      <c r="A56" s="1" t="s">
        <v>58</v>
      </c>
      <c r="B56" s="1">
        <v>1.0</v>
      </c>
      <c r="D56" s="1">
        <v>93.623654</v>
      </c>
      <c r="E56" s="1">
        <v>55.0</v>
      </c>
    </row>
    <row r="57">
      <c r="A57" s="1" t="s">
        <v>37</v>
      </c>
      <c r="B57" s="1">
        <v>0.0</v>
      </c>
      <c r="D57" s="1">
        <v>95.851054</v>
      </c>
      <c r="E57" s="1">
        <v>56.0</v>
      </c>
    </row>
    <row r="58">
      <c r="A58" s="1" t="s">
        <v>37</v>
      </c>
      <c r="B58" s="1">
        <v>0.0</v>
      </c>
      <c r="D58" s="1">
        <v>96.184492</v>
      </c>
      <c r="E58" s="1">
        <v>57.0</v>
      </c>
    </row>
    <row r="59">
      <c r="A59" s="1" t="s">
        <v>59</v>
      </c>
      <c r="B59" s="1">
        <v>1.0</v>
      </c>
      <c r="D59" s="1">
        <v>97.828336</v>
      </c>
      <c r="E59" s="1">
        <v>58.0</v>
      </c>
    </row>
    <row r="60">
      <c r="A60" s="1" t="s">
        <v>37</v>
      </c>
      <c r="B60" s="1">
        <v>0.0</v>
      </c>
      <c r="D60" s="1">
        <v>97.842421</v>
      </c>
      <c r="E60" s="1">
        <v>59.0</v>
      </c>
    </row>
    <row r="61">
      <c r="A61" s="1" t="s">
        <v>60</v>
      </c>
      <c r="B61" s="1">
        <v>1.0</v>
      </c>
      <c r="D61" s="1">
        <v>99.112988</v>
      </c>
      <c r="E61" s="1">
        <v>60.0</v>
      </c>
    </row>
    <row r="62">
      <c r="A62" s="1" t="s">
        <v>37</v>
      </c>
      <c r="B62" s="1">
        <v>0.0</v>
      </c>
      <c r="D62" s="1">
        <v>102.342198</v>
      </c>
      <c r="E62" s="1">
        <v>61.0</v>
      </c>
    </row>
    <row r="63">
      <c r="A63" s="1" t="s">
        <v>37</v>
      </c>
      <c r="B63" s="1">
        <v>0.0</v>
      </c>
      <c r="D63" s="1">
        <v>103.026897</v>
      </c>
      <c r="E63" s="1">
        <v>62.0</v>
      </c>
    </row>
    <row r="64">
      <c r="A64" s="1" t="s">
        <v>61</v>
      </c>
      <c r="B64" s="1">
        <v>1.0</v>
      </c>
      <c r="D64" s="1">
        <v>103.660019</v>
      </c>
      <c r="E64" s="1">
        <v>63.0</v>
      </c>
    </row>
    <row r="65">
      <c r="A65" s="1" t="s">
        <v>62</v>
      </c>
      <c r="B65" s="1">
        <v>1.0</v>
      </c>
      <c r="D65" s="1">
        <v>105.242518</v>
      </c>
      <c r="E65" s="1">
        <v>64.0</v>
      </c>
    </row>
    <row r="66">
      <c r="A66" s="1" t="s">
        <v>37</v>
      </c>
      <c r="B66" s="1">
        <v>0.0</v>
      </c>
      <c r="D66" s="1">
        <v>105.92633</v>
      </c>
      <c r="E66" s="1">
        <v>65.0</v>
      </c>
    </row>
    <row r="67">
      <c r="A67" s="1" t="s">
        <v>37</v>
      </c>
      <c r="B67" s="1">
        <v>0.0</v>
      </c>
      <c r="D67" s="1">
        <v>110.640793</v>
      </c>
      <c r="E67" s="1">
        <v>66.0</v>
      </c>
    </row>
    <row r="68">
      <c r="A68" s="1" t="s">
        <v>37</v>
      </c>
      <c r="B68" s="1">
        <v>0.0</v>
      </c>
      <c r="D68" s="1">
        <v>114.335424</v>
      </c>
      <c r="E68" s="1">
        <v>67.0</v>
      </c>
    </row>
    <row r="69">
      <c r="A69" s="1" t="s">
        <v>63</v>
      </c>
      <c r="B69" s="1">
        <v>1.0</v>
      </c>
      <c r="D69" s="1">
        <v>114.384557</v>
      </c>
      <c r="E69" s="1">
        <v>68.0</v>
      </c>
    </row>
    <row r="70">
      <c r="A70" s="1" t="s">
        <v>64</v>
      </c>
      <c r="B70" s="1">
        <v>1.0</v>
      </c>
      <c r="D70" s="1"/>
      <c r="E70" s="1"/>
    </row>
    <row r="71">
      <c r="A71" s="1" t="s">
        <v>65</v>
      </c>
      <c r="B71" s="1">
        <v>1.0</v>
      </c>
      <c r="D71" s="1"/>
      <c r="E71" s="1"/>
    </row>
    <row r="72">
      <c r="A72" s="1" t="s">
        <v>37</v>
      </c>
      <c r="B72" s="1">
        <v>0.0</v>
      </c>
      <c r="D72" s="1"/>
      <c r="E72" s="1"/>
    </row>
    <row r="73">
      <c r="A73" s="1" t="s">
        <v>37</v>
      </c>
      <c r="B73" s="1">
        <v>0.0</v>
      </c>
      <c r="D73" s="1"/>
      <c r="E73" s="1"/>
    </row>
    <row r="74">
      <c r="A74" s="1" t="s">
        <v>37</v>
      </c>
      <c r="B74" s="1">
        <v>0.0</v>
      </c>
      <c r="D74" s="1"/>
      <c r="E74" s="1"/>
    </row>
    <row r="75">
      <c r="A75" s="1" t="s">
        <v>66</v>
      </c>
      <c r="B75" s="1">
        <v>1.0</v>
      </c>
      <c r="D75" s="1"/>
      <c r="E75" s="1"/>
    </row>
    <row r="76">
      <c r="A76" s="1" t="s">
        <v>67</v>
      </c>
      <c r="B76" s="1">
        <v>1.0</v>
      </c>
      <c r="D76" s="1"/>
      <c r="E76" s="1"/>
    </row>
    <row r="77">
      <c r="A77" s="1" t="s">
        <v>37</v>
      </c>
      <c r="B77" s="1">
        <v>0.0</v>
      </c>
      <c r="D77" s="1"/>
      <c r="E77" s="1"/>
    </row>
    <row r="78">
      <c r="A78" s="1" t="s">
        <v>68</v>
      </c>
      <c r="B78" s="1">
        <v>1.0</v>
      </c>
      <c r="D78" s="1"/>
      <c r="E78" s="1"/>
    </row>
    <row r="79">
      <c r="A79" s="1" t="s">
        <v>37</v>
      </c>
      <c r="B79" s="1">
        <v>0.0</v>
      </c>
      <c r="D79" s="1"/>
      <c r="E79" s="1"/>
    </row>
    <row r="80">
      <c r="A80" s="1" t="s">
        <v>37</v>
      </c>
      <c r="B80" s="1">
        <v>0.0</v>
      </c>
      <c r="D80" s="1"/>
      <c r="E80" s="1"/>
    </row>
    <row r="81">
      <c r="A81" s="1" t="s">
        <v>37</v>
      </c>
      <c r="B81" s="1">
        <v>0.0</v>
      </c>
      <c r="D81" s="1"/>
      <c r="E81" s="1"/>
    </row>
    <row r="82">
      <c r="A82" s="1" t="s">
        <v>37</v>
      </c>
      <c r="B82" s="1">
        <v>0.0</v>
      </c>
      <c r="D82" s="1"/>
      <c r="E82" s="1"/>
    </row>
    <row r="83">
      <c r="A83" s="1" t="s">
        <v>37</v>
      </c>
      <c r="B83" s="1">
        <v>0.0</v>
      </c>
      <c r="D83" s="1"/>
      <c r="E83" s="1"/>
    </row>
    <row r="84">
      <c r="A84" s="1" t="s">
        <v>37</v>
      </c>
      <c r="B84" s="1">
        <v>0.0</v>
      </c>
      <c r="D84" s="1"/>
      <c r="E84" s="1"/>
    </row>
    <row r="85">
      <c r="A85" s="1" t="s">
        <v>37</v>
      </c>
      <c r="B85" s="1">
        <v>0.0</v>
      </c>
      <c r="D85" s="1"/>
      <c r="E85" s="1"/>
    </row>
    <row r="86">
      <c r="A86" s="1" t="s">
        <v>69</v>
      </c>
      <c r="B86" s="1">
        <v>1.0</v>
      </c>
      <c r="D86" s="1"/>
      <c r="E86" s="1"/>
    </row>
    <row r="87">
      <c r="A87" s="1" t="s">
        <v>70</v>
      </c>
      <c r="B87" s="1">
        <v>1.0</v>
      </c>
      <c r="D87" s="1"/>
      <c r="E87" s="1"/>
    </row>
    <row r="88">
      <c r="A88" s="1" t="s">
        <v>37</v>
      </c>
      <c r="B88" s="1">
        <v>0.0</v>
      </c>
      <c r="D88" s="1"/>
      <c r="E88" s="1"/>
    </row>
    <row r="89">
      <c r="A89" s="1" t="s">
        <v>37</v>
      </c>
      <c r="B89" s="1">
        <v>0.0</v>
      </c>
      <c r="D89" s="1"/>
      <c r="E89" s="1"/>
    </row>
    <row r="90">
      <c r="A90" s="1" t="s">
        <v>37</v>
      </c>
      <c r="B90" s="1">
        <v>0.0</v>
      </c>
      <c r="D90" s="1"/>
      <c r="E90" s="1"/>
    </row>
    <row r="91">
      <c r="A91" s="1" t="s">
        <v>71</v>
      </c>
      <c r="B91" s="1">
        <v>3.0</v>
      </c>
      <c r="D91" s="1"/>
      <c r="E91" s="1"/>
    </row>
    <row r="92">
      <c r="A92" s="1" t="s">
        <v>37</v>
      </c>
      <c r="B92" s="1">
        <v>0.0</v>
      </c>
      <c r="D92" s="1"/>
      <c r="E92" s="1"/>
    </row>
    <row r="93">
      <c r="A93" s="1" t="s">
        <v>72</v>
      </c>
      <c r="B93" s="1">
        <v>1.0</v>
      </c>
      <c r="D93" s="1"/>
      <c r="E93" s="1"/>
    </row>
    <row r="94">
      <c r="A94" s="1" t="s">
        <v>73</v>
      </c>
      <c r="B94" s="1">
        <v>1.0</v>
      </c>
      <c r="D94" s="1"/>
      <c r="E94" s="1"/>
    </row>
    <row r="95">
      <c r="A95" s="1" t="s">
        <v>37</v>
      </c>
      <c r="B95" s="1">
        <v>0.0</v>
      </c>
      <c r="D95" s="1"/>
      <c r="E95" s="1"/>
    </row>
    <row r="96">
      <c r="A96" s="1" t="s">
        <v>74</v>
      </c>
      <c r="B96" s="1">
        <v>1.0</v>
      </c>
      <c r="D96" s="1"/>
      <c r="E96" s="1"/>
    </row>
    <row r="97">
      <c r="A97" s="1" t="s">
        <v>75</v>
      </c>
      <c r="B97" s="1">
        <v>1.0</v>
      </c>
      <c r="D97" s="1"/>
      <c r="E97" s="1"/>
    </row>
    <row r="98">
      <c r="A98" s="1" t="s">
        <v>76</v>
      </c>
      <c r="B98" s="1">
        <v>2.0</v>
      </c>
      <c r="D98" s="1"/>
      <c r="E98" s="1"/>
    </row>
    <row r="99">
      <c r="A99" s="1" t="s">
        <v>37</v>
      </c>
      <c r="B99" s="1">
        <v>0.0</v>
      </c>
      <c r="D99" s="1"/>
      <c r="E99" s="1"/>
    </row>
    <row r="100">
      <c r="A100" s="1" t="s">
        <v>77</v>
      </c>
      <c r="B100" s="1">
        <v>1.0</v>
      </c>
      <c r="D100" s="1"/>
      <c r="E100" s="1"/>
    </row>
    <row r="101">
      <c r="A101" s="1" t="s">
        <v>37</v>
      </c>
      <c r="B101" s="1">
        <v>0.0</v>
      </c>
      <c r="D101" s="1"/>
      <c r="E101" s="1"/>
    </row>
    <row r="102">
      <c r="A102" s="1" t="s">
        <v>37</v>
      </c>
      <c r="B102" s="1">
        <v>0.0</v>
      </c>
      <c r="D102" s="1"/>
      <c r="E102" s="1"/>
    </row>
    <row r="103">
      <c r="A103" s="1" t="s">
        <v>78</v>
      </c>
      <c r="B103" s="1">
        <v>1.0</v>
      </c>
      <c r="D103" s="1"/>
      <c r="E103" s="1"/>
    </row>
    <row r="104">
      <c r="A104" s="1" t="s">
        <v>79</v>
      </c>
      <c r="B104" s="1">
        <v>2.0</v>
      </c>
      <c r="D104" s="1"/>
      <c r="E104" s="1"/>
    </row>
    <row r="105">
      <c r="A105" s="1" t="s">
        <v>37</v>
      </c>
      <c r="B105" s="1">
        <v>0.0</v>
      </c>
      <c r="D105" s="1"/>
      <c r="E105" s="1"/>
    </row>
    <row r="106">
      <c r="A106" s="1" t="s">
        <v>80</v>
      </c>
      <c r="B106" s="1">
        <v>2.0</v>
      </c>
      <c r="D106" s="1"/>
      <c r="E106" s="1"/>
    </row>
    <row r="107">
      <c r="A107" s="1" t="s">
        <v>37</v>
      </c>
      <c r="B107" s="1">
        <v>0.0</v>
      </c>
      <c r="D107" s="1"/>
      <c r="E107" s="1"/>
    </row>
    <row r="108">
      <c r="A108" s="1" t="s">
        <v>37</v>
      </c>
      <c r="B108" s="1">
        <v>0.0</v>
      </c>
      <c r="D108" s="1"/>
      <c r="E108" s="1"/>
    </row>
    <row r="109">
      <c r="A109" s="1" t="s">
        <v>37</v>
      </c>
      <c r="B109" s="1">
        <v>0.0</v>
      </c>
      <c r="D109" s="1"/>
      <c r="E109" s="1"/>
    </row>
    <row r="110">
      <c r="A110" s="1" t="s">
        <v>37</v>
      </c>
      <c r="B110" s="1">
        <v>0.0</v>
      </c>
      <c r="D110" s="1"/>
      <c r="E110" s="1"/>
    </row>
    <row r="111">
      <c r="A111" s="1" t="s">
        <v>81</v>
      </c>
      <c r="B111" s="1">
        <v>1.0</v>
      </c>
      <c r="D111" s="1"/>
      <c r="E111" s="1"/>
    </row>
    <row r="112">
      <c r="A112" s="1" t="s">
        <v>37</v>
      </c>
      <c r="B112" s="1">
        <v>0.0</v>
      </c>
      <c r="D112" s="1"/>
      <c r="E112" s="1"/>
    </row>
    <row r="113">
      <c r="A113" s="1" t="s">
        <v>37</v>
      </c>
      <c r="B113" s="1">
        <v>0.0</v>
      </c>
      <c r="D113" s="1"/>
      <c r="E113" s="1"/>
    </row>
    <row r="114">
      <c r="A114" s="1" t="s">
        <v>37</v>
      </c>
      <c r="B114" s="1">
        <v>0.0</v>
      </c>
      <c r="D114" s="1"/>
      <c r="E114" s="1"/>
    </row>
    <row r="115">
      <c r="A115" s="1" t="s">
        <v>82</v>
      </c>
      <c r="B115" s="1">
        <v>2.0</v>
      </c>
      <c r="D115" s="1"/>
      <c r="E115" s="1"/>
    </row>
    <row r="116">
      <c r="D116" s="1"/>
      <c r="E116" s="1"/>
    </row>
    <row r="117">
      <c r="D117" s="1"/>
      <c r="E117" s="1"/>
    </row>
    <row r="118">
      <c r="D118" s="1"/>
      <c r="E118" s="1"/>
    </row>
    <row r="119">
      <c r="D119" s="1"/>
      <c r="E119" s="1"/>
    </row>
    <row r="120">
      <c r="D120" s="1"/>
      <c r="E120" s="1"/>
    </row>
    <row r="121">
      <c r="D121" s="1"/>
      <c r="E121" s="1"/>
    </row>
    <row r="122">
      <c r="D122" s="1"/>
      <c r="E122" s="1"/>
    </row>
    <row r="123">
      <c r="D123" s="1"/>
      <c r="E12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8" max="8" width="15.5"/>
  </cols>
  <sheetData>
    <row r="1">
      <c r="A1" s="1" t="s">
        <v>0</v>
      </c>
      <c r="C1" s="1" t="s">
        <v>1</v>
      </c>
      <c r="D1" s="1" t="s">
        <v>2</v>
      </c>
      <c r="E1" s="1" t="s">
        <v>30</v>
      </c>
    </row>
    <row r="2">
      <c r="A2" s="1" t="s">
        <v>83</v>
      </c>
      <c r="B2" s="1">
        <v>1.0</v>
      </c>
      <c r="D2" s="1">
        <v>1.000008</v>
      </c>
      <c r="E2" s="1">
        <v>1.0</v>
      </c>
      <c r="G2" s="1" t="s">
        <v>6</v>
      </c>
      <c r="H2" s="1" t="s">
        <v>33</v>
      </c>
    </row>
    <row r="3">
      <c r="A3" s="1" t="s">
        <v>84</v>
      </c>
      <c r="B3" s="1">
        <v>0.0</v>
      </c>
      <c r="D3" s="1">
        <v>2.0</v>
      </c>
      <c r="E3" s="1">
        <v>2.0</v>
      </c>
      <c r="G3" s="5">
        <f>112/180</f>
        <v>0.6222222222</v>
      </c>
      <c r="H3" s="5">
        <f>G3*3</f>
        <v>1.866666667</v>
      </c>
    </row>
    <row r="4">
      <c r="A4" s="1" t="s">
        <v>37</v>
      </c>
      <c r="B4" s="1">
        <v>0.0</v>
      </c>
      <c r="D4" s="1">
        <v>4.383574</v>
      </c>
      <c r="E4" s="1">
        <v>3.0</v>
      </c>
      <c r="G4" s="1" t="s">
        <v>85</v>
      </c>
    </row>
    <row r="5">
      <c r="A5" s="1" t="s">
        <v>86</v>
      </c>
      <c r="B5" s="1">
        <v>1.0</v>
      </c>
      <c r="D5" s="1">
        <v>5.74121</v>
      </c>
      <c r="E5" s="1">
        <v>4.0</v>
      </c>
      <c r="G5" s="5">
        <f>sqrt(112)/180</f>
        <v>0.05879447358</v>
      </c>
      <c r="H5" s="5">
        <f>( sqrt(112)/180)*3</f>
        <v>0.1763834207</v>
      </c>
    </row>
    <row r="6">
      <c r="A6" s="1" t="s">
        <v>87</v>
      </c>
      <c r="B6" s="1">
        <v>1.0</v>
      </c>
      <c r="D6" s="1">
        <v>6.231145</v>
      </c>
      <c r="E6" s="1">
        <v>5.0</v>
      </c>
    </row>
    <row r="7">
      <c r="A7" s="1" t="s">
        <v>88</v>
      </c>
      <c r="B7" s="1">
        <v>1.0</v>
      </c>
      <c r="D7" s="1">
        <v>8.473225</v>
      </c>
      <c r="E7" s="1">
        <v>6.0</v>
      </c>
    </row>
    <row r="8">
      <c r="A8" s="1" t="s">
        <v>37</v>
      </c>
      <c r="B8" s="1">
        <v>0.0</v>
      </c>
      <c r="D8" s="1">
        <v>9.068713</v>
      </c>
      <c r="E8" s="1">
        <v>7.0</v>
      </c>
    </row>
    <row r="9">
      <c r="A9" s="1" t="s">
        <v>89</v>
      </c>
      <c r="B9" s="1">
        <v>1.0</v>
      </c>
      <c r="D9" s="1">
        <v>9.349295</v>
      </c>
      <c r="E9" s="1">
        <v>8.0</v>
      </c>
    </row>
    <row r="10">
      <c r="A10" s="1" t="s">
        <v>90</v>
      </c>
      <c r="B10" s="1">
        <v>4.0</v>
      </c>
      <c r="D10" s="1">
        <v>9.856505</v>
      </c>
      <c r="E10" s="1">
        <v>9.0</v>
      </c>
    </row>
    <row r="11">
      <c r="A11" s="1" t="s">
        <v>91</v>
      </c>
      <c r="B11" s="1">
        <v>1.0</v>
      </c>
      <c r="D11" s="1">
        <v>9.97954</v>
      </c>
      <c r="E11" s="1">
        <v>10.0</v>
      </c>
    </row>
    <row r="12">
      <c r="A12" s="1" t="s">
        <v>92</v>
      </c>
      <c r="B12" s="1">
        <v>1.0</v>
      </c>
      <c r="D12" s="1">
        <v>10.003658</v>
      </c>
      <c r="E12" s="1">
        <v>11.0</v>
      </c>
    </row>
    <row r="13">
      <c r="A13" s="1" t="s">
        <v>37</v>
      </c>
      <c r="B13" s="1">
        <v>0.0</v>
      </c>
      <c r="D13" s="1">
        <v>11.624318</v>
      </c>
      <c r="E13" s="1">
        <v>12.0</v>
      </c>
    </row>
    <row r="14">
      <c r="A14" s="1" t="s">
        <v>37</v>
      </c>
      <c r="B14" s="1">
        <v>0.0</v>
      </c>
      <c r="D14" s="1">
        <v>14.403654</v>
      </c>
      <c r="E14" s="1">
        <v>13.0</v>
      </c>
    </row>
    <row r="15">
      <c r="A15" s="1" t="s">
        <v>93</v>
      </c>
      <c r="B15" s="1">
        <v>1.0</v>
      </c>
      <c r="D15" s="1">
        <v>15.428212</v>
      </c>
      <c r="E15" s="1">
        <v>14.0</v>
      </c>
    </row>
    <row r="16">
      <c r="A16" s="1" t="s">
        <v>94</v>
      </c>
      <c r="B16" s="1">
        <v>2.0</v>
      </c>
      <c r="D16" s="1">
        <v>15.479886</v>
      </c>
      <c r="E16" s="1">
        <v>15.0</v>
      </c>
    </row>
    <row r="17">
      <c r="A17" s="1" t="s">
        <v>37</v>
      </c>
      <c r="B17" s="1">
        <v>0.0</v>
      </c>
      <c r="D17" s="1">
        <v>19.795812</v>
      </c>
      <c r="E17" s="1">
        <v>16.0</v>
      </c>
    </row>
    <row r="18">
      <c r="A18" s="1" t="s">
        <v>37</v>
      </c>
      <c r="B18" s="1">
        <v>0.0</v>
      </c>
      <c r="D18" s="1">
        <v>20.37017</v>
      </c>
      <c r="E18" s="1">
        <v>17.0</v>
      </c>
    </row>
    <row r="19">
      <c r="A19" s="1" t="s">
        <v>37</v>
      </c>
      <c r="B19" s="1">
        <v>0.0</v>
      </c>
      <c r="D19" s="1">
        <v>22.912068</v>
      </c>
      <c r="E19" s="1">
        <v>18.0</v>
      </c>
    </row>
    <row r="20">
      <c r="A20" s="1" t="s">
        <v>95</v>
      </c>
      <c r="B20" s="1">
        <v>1.0</v>
      </c>
      <c r="D20" s="1">
        <v>25.780563</v>
      </c>
      <c r="E20" s="1">
        <v>19.0</v>
      </c>
    </row>
    <row r="21">
      <c r="A21" s="1" t="s">
        <v>96</v>
      </c>
      <c r="B21" s="1">
        <v>1.0</v>
      </c>
      <c r="D21" s="1">
        <v>29.075513</v>
      </c>
      <c r="E21" s="1">
        <v>20.0</v>
      </c>
    </row>
    <row r="22">
      <c r="A22" s="1" t="s">
        <v>37</v>
      </c>
      <c r="B22" s="1">
        <v>0.0</v>
      </c>
      <c r="D22" s="1">
        <v>29.27208</v>
      </c>
      <c r="E22" s="1">
        <v>21.0</v>
      </c>
    </row>
    <row r="23">
      <c r="A23" s="1" t="s">
        <v>97</v>
      </c>
      <c r="B23" s="1">
        <v>1.0</v>
      </c>
      <c r="D23" s="1">
        <v>29.762004</v>
      </c>
      <c r="E23" s="1">
        <v>22.0</v>
      </c>
    </row>
    <row r="24">
      <c r="A24" s="1" t="s">
        <v>37</v>
      </c>
      <c r="B24" s="1">
        <v>0.0</v>
      </c>
      <c r="D24" s="1">
        <v>29.981292</v>
      </c>
      <c r="E24" s="1">
        <v>23.0</v>
      </c>
    </row>
    <row r="25">
      <c r="A25" s="1" t="s">
        <v>37</v>
      </c>
      <c r="B25" s="1">
        <v>0.0</v>
      </c>
      <c r="D25" s="1">
        <v>31.891337</v>
      </c>
      <c r="E25" s="1">
        <v>24.0</v>
      </c>
    </row>
    <row r="26">
      <c r="A26" s="1" t="s">
        <v>98</v>
      </c>
      <c r="B26" s="1">
        <v>1.0</v>
      </c>
      <c r="D26" s="1">
        <v>35.372459</v>
      </c>
      <c r="E26" s="1">
        <v>25.0</v>
      </c>
    </row>
    <row r="27">
      <c r="A27" s="1" t="s">
        <v>37</v>
      </c>
      <c r="B27" s="1">
        <v>0.0</v>
      </c>
      <c r="D27" s="1">
        <v>35.623725</v>
      </c>
      <c r="E27" s="1">
        <v>26.0</v>
      </c>
    </row>
    <row r="28">
      <c r="A28" s="1" t="s">
        <v>37</v>
      </c>
      <c r="B28" s="1">
        <v>0.0</v>
      </c>
      <c r="D28" s="1">
        <v>37.412674</v>
      </c>
      <c r="E28" s="1">
        <v>27.0</v>
      </c>
    </row>
    <row r="29">
      <c r="A29" s="1" t="s">
        <v>37</v>
      </c>
      <c r="B29" s="1">
        <v>0.0</v>
      </c>
      <c r="D29" s="1">
        <v>40.19089</v>
      </c>
      <c r="E29" s="1">
        <v>28.0</v>
      </c>
    </row>
    <row r="30">
      <c r="A30" s="1" t="s">
        <v>99</v>
      </c>
      <c r="B30" s="1">
        <v>4.0</v>
      </c>
      <c r="D30" s="1">
        <v>40.931494</v>
      </c>
      <c r="E30" s="1">
        <v>29.0</v>
      </c>
    </row>
    <row r="31">
      <c r="A31" s="1" t="s">
        <v>37</v>
      </c>
      <c r="B31" s="1">
        <v>0.0</v>
      </c>
      <c r="D31" s="1">
        <v>41.454484</v>
      </c>
      <c r="E31" s="1">
        <v>30.0</v>
      </c>
    </row>
    <row r="32">
      <c r="A32" s="1" t="s">
        <v>100</v>
      </c>
      <c r="B32" s="1">
        <v>1.0</v>
      </c>
      <c r="D32" s="1">
        <v>44.412984</v>
      </c>
      <c r="E32" s="1">
        <v>31.0</v>
      </c>
    </row>
    <row r="33">
      <c r="A33" s="1" t="s">
        <v>37</v>
      </c>
      <c r="B33" s="1">
        <v>0.0</v>
      </c>
      <c r="D33" s="1">
        <v>47.263683</v>
      </c>
      <c r="E33" s="1">
        <v>32.0</v>
      </c>
    </row>
    <row r="34">
      <c r="A34" s="1" t="s">
        <v>37</v>
      </c>
      <c r="B34" s="1">
        <v>0.0</v>
      </c>
      <c r="D34" s="1">
        <v>48.546562</v>
      </c>
      <c r="E34" s="1">
        <v>33.0</v>
      </c>
    </row>
    <row r="35">
      <c r="A35" s="1" t="s">
        <v>37</v>
      </c>
      <c r="B35" s="1">
        <v>0.0</v>
      </c>
      <c r="D35" s="1">
        <v>49.889816</v>
      </c>
      <c r="E35" s="1">
        <v>34.0</v>
      </c>
    </row>
    <row r="36">
      <c r="A36" s="1" t="s">
        <v>101</v>
      </c>
      <c r="B36" s="1">
        <v>2.0</v>
      </c>
      <c r="D36" s="1">
        <v>51.251991</v>
      </c>
      <c r="E36" s="1">
        <v>35.0</v>
      </c>
    </row>
    <row r="37">
      <c r="A37" s="1" t="s">
        <v>37</v>
      </c>
      <c r="B37" s="1">
        <v>0.0</v>
      </c>
      <c r="D37" s="1">
        <v>53.27321</v>
      </c>
      <c r="E37" s="1">
        <v>36.0</v>
      </c>
    </row>
    <row r="38">
      <c r="A38" s="1" t="s">
        <v>102</v>
      </c>
      <c r="B38" s="1">
        <v>1.0</v>
      </c>
      <c r="D38" s="1">
        <v>55.579547</v>
      </c>
      <c r="E38" s="1">
        <v>37.0</v>
      </c>
    </row>
    <row r="39">
      <c r="A39" s="1" t="s">
        <v>37</v>
      </c>
      <c r="B39" s="1">
        <v>0.0</v>
      </c>
      <c r="D39" s="1">
        <v>63.52624</v>
      </c>
      <c r="E39" s="1">
        <v>38.0</v>
      </c>
    </row>
    <row r="40">
      <c r="A40" s="1" t="s">
        <v>37</v>
      </c>
      <c r="B40" s="1">
        <v>0.0</v>
      </c>
      <c r="D40" s="1">
        <v>67.217226</v>
      </c>
      <c r="E40" s="1">
        <v>39.0</v>
      </c>
    </row>
    <row r="41">
      <c r="A41" s="1" t="s">
        <v>103</v>
      </c>
      <c r="B41" s="1">
        <v>2.0</v>
      </c>
      <c r="D41" s="1">
        <v>68.460111</v>
      </c>
      <c r="E41" s="1">
        <v>40.0</v>
      </c>
    </row>
    <row r="42">
      <c r="A42" s="1" t="s">
        <v>104</v>
      </c>
      <c r="B42" s="1">
        <v>1.0</v>
      </c>
      <c r="D42" s="1">
        <v>69.138476</v>
      </c>
      <c r="E42" s="1">
        <v>41.0</v>
      </c>
    </row>
    <row r="43">
      <c r="A43" s="1" t="s">
        <v>37</v>
      </c>
      <c r="B43" s="1">
        <v>0.0</v>
      </c>
      <c r="D43" s="1">
        <v>69.285711</v>
      </c>
      <c r="E43" s="1">
        <v>42.0</v>
      </c>
    </row>
    <row r="44">
      <c r="A44" s="1" t="s">
        <v>37</v>
      </c>
      <c r="B44" s="1">
        <v>0.0</v>
      </c>
      <c r="D44" s="1">
        <v>69.907747</v>
      </c>
      <c r="E44" s="1">
        <v>43.0</v>
      </c>
    </row>
    <row r="45">
      <c r="A45" s="1" t="s">
        <v>105</v>
      </c>
      <c r="B45" s="1">
        <v>1.0</v>
      </c>
      <c r="D45" s="1">
        <v>70.615068</v>
      </c>
      <c r="E45" s="1">
        <v>44.0</v>
      </c>
    </row>
    <row r="46">
      <c r="A46" s="1" t="s">
        <v>37</v>
      </c>
      <c r="B46" s="1">
        <v>0.0</v>
      </c>
      <c r="D46" s="1">
        <v>73.231222</v>
      </c>
      <c r="E46" s="1">
        <v>45.0</v>
      </c>
    </row>
    <row r="47">
      <c r="A47" s="1" t="s">
        <v>37</v>
      </c>
      <c r="B47" s="1">
        <v>0.0</v>
      </c>
      <c r="D47" s="1">
        <v>76.730868</v>
      </c>
      <c r="E47" s="1">
        <v>46.0</v>
      </c>
    </row>
    <row r="48">
      <c r="A48" s="1" t="s">
        <v>106</v>
      </c>
      <c r="B48" s="1">
        <v>1.0</v>
      </c>
      <c r="D48" s="1">
        <v>77.636229</v>
      </c>
      <c r="E48" s="1">
        <v>47.0</v>
      </c>
    </row>
    <row r="49">
      <c r="A49" s="1" t="s">
        <v>107</v>
      </c>
      <c r="B49" s="1">
        <v>1.0</v>
      </c>
      <c r="D49" s="1">
        <v>80.765559</v>
      </c>
      <c r="E49" s="1">
        <v>48.0</v>
      </c>
    </row>
    <row r="50">
      <c r="A50" s="1" t="s">
        <v>108</v>
      </c>
      <c r="B50" s="1">
        <v>1.0</v>
      </c>
      <c r="D50" s="1">
        <v>82.244467</v>
      </c>
      <c r="E50" s="1">
        <v>49.0</v>
      </c>
    </row>
    <row r="51">
      <c r="A51" s="1" t="s">
        <v>37</v>
      </c>
      <c r="B51" s="1">
        <v>0.0</v>
      </c>
      <c r="D51" s="1">
        <v>82.310982</v>
      </c>
      <c r="E51" s="1">
        <v>50.0</v>
      </c>
    </row>
    <row r="52">
      <c r="A52" s="1" t="s">
        <v>109</v>
      </c>
      <c r="B52" s="1">
        <v>1.0</v>
      </c>
      <c r="D52" s="1">
        <v>84.293228</v>
      </c>
      <c r="E52" s="1">
        <v>51.0</v>
      </c>
    </row>
    <row r="53">
      <c r="A53" s="1" t="s">
        <v>37</v>
      </c>
      <c r="B53" s="1">
        <v>0.0</v>
      </c>
      <c r="D53" s="1">
        <v>86.033034</v>
      </c>
      <c r="E53" s="1">
        <v>52.0</v>
      </c>
    </row>
    <row r="54">
      <c r="A54" s="1" t="s">
        <v>110</v>
      </c>
      <c r="B54" s="1">
        <v>1.0</v>
      </c>
      <c r="D54" s="1">
        <v>86.412938</v>
      </c>
      <c r="E54" s="1">
        <v>53.0</v>
      </c>
    </row>
    <row r="55">
      <c r="A55" s="1" t="s">
        <v>37</v>
      </c>
      <c r="B55" s="1">
        <v>0.0</v>
      </c>
      <c r="D55" s="1">
        <v>87.078531</v>
      </c>
      <c r="E55" s="1">
        <v>54.0</v>
      </c>
    </row>
    <row r="56">
      <c r="A56" s="1" t="s">
        <v>111</v>
      </c>
      <c r="B56" s="1">
        <v>1.0</v>
      </c>
      <c r="D56" s="1">
        <v>89.087349</v>
      </c>
      <c r="E56" s="1">
        <v>55.0</v>
      </c>
    </row>
    <row r="57">
      <c r="A57" s="1" t="s">
        <v>37</v>
      </c>
      <c r="B57" s="1">
        <v>0.0</v>
      </c>
      <c r="D57" s="1">
        <v>92.023943</v>
      </c>
      <c r="E57" s="1">
        <v>56.0</v>
      </c>
    </row>
    <row r="58">
      <c r="A58" s="1" t="s">
        <v>37</v>
      </c>
      <c r="B58" s="1">
        <v>0.0</v>
      </c>
      <c r="D58" s="1">
        <v>92.112938</v>
      </c>
      <c r="E58" s="1">
        <v>57.0</v>
      </c>
    </row>
    <row r="59">
      <c r="A59" s="1" t="s">
        <v>37</v>
      </c>
      <c r="B59" s="1">
        <v>0.0</v>
      </c>
      <c r="D59" s="1">
        <v>92.990994</v>
      </c>
      <c r="E59" s="1">
        <v>58.0</v>
      </c>
    </row>
    <row r="60">
      <c r="A60" s="1" t="s">
        <v>37</v>
      </c>
      <c r="B60" s="1">
        <v>0.0</v>
      </c>
      <c r="D60" s="1">
        <v>94.45422</v>
      </c>
      <c r="E60" s="1">
        <v>59.0</v>
      </c>
    </row>
    <row r="61">
      <c r="A61" s="1" t="s">
        <v>37</v>
      </c>
      <c r="B61" s="1">
        <v>0.0</v>
      </c>
      <c r="D61" s="1">
        <v>94.945249</v>
      </c>
      <c r="E61" s="1">
        <v>60.0</v>
      </c>
    </row>
    <row r="62">
      <c r="A62" s="1" t="s">
        <v>37</v>
      </c>
      <c r="B62" s="1">
        <v>0.0</v>
      </c>
      <c r="D62" s="1">
        <v>97.190124</v>
      </c>
      <c r="E62" s="1">
        <v>61.0</v>
      </c>
    </row>
    <row r="63">
      <c r="A63" s="1" t="s">
        <v>37</v>
      </c>
      <c r="B63" s="1">
        <v>0.0</v>
      </c>
      <c r="D63" s="1">
        <v>97.90488</v>
      </c>
      <c r="E63" s="1">
        <v>62.0</v>
      </c>
    </row>
    <row r="64">
      <c r="A64" s="1" t="s">
        <v>112</v>
      </c>
      <c r="B64" s="1">
        <v>1.0</v>
      </c>
      <c r="D64" s="1">
        <v>98.383494</v>
      </c>
      <c r="E64" s="1">
        <v>63.0</v>
      </c>
    </row>
    <row r="65">
      <c r="A65" s="1" t="s">
        <v>37</v>
      </c>
      <c r="B65" s="1">
        <v>0.0</v>
      </c>
      <c r="D65" s="1">
        <v>99.845617</v>
      </c>
      <c r="E65" s="1">
        <v>64.0</v>
      </c>
    </row>
    <row r="66">
      <c r="A66" s="1" t="s">
        <v>37</v>
      </c>
      <c r="B66" s="1">
        <v>0.0</v>
      </c>
      <c r="D66" s="1">
        <v>100.512852</v>
      </c>
      <c r="E66" s="1">
        <v>65.0</v>
      </c>
    </row>
    <row r="67">
      <c r="A67" s="1" t="s">
        <v>37</v>
      </c>
      <c r="B67" s="1">
        <v>0.0</v>
      </c>
      <c r="D67" s="1">
        <v>100.958373</v>
      </c>
      <c r="E67" s="1">
        <v>66.0</v>
      </c>
    </row>
    <row r="68">
      <c r="A68" s="1" t="s">
        <v>113</v>
      </c>
      <c r="B68" s="1">
        <v>1.0</v>
      </c>
      <c r="D68" s="1">
        <v>102.122212</v>
      </c>
      <c r="E68" s="1">
        <v>67.0</v>
      </c>
    </row>
    <row r="69">
      <c r="A69" s="1" t="s">
        <v>114</v>
      </c>
      <c r="B69" s="1">
        <v>1.0</v>
      </c>
      <c r="D69" s="1">
        <v>102.125649</v>
      </c>
      <c r="E69" s="1">
        <v>68.0</v>
      </c>
    </row>
    <row r="70">
      <c r="A70" s="1" t="s">
        <v>115</v>
      </c>
      <c r="B70" s="1">
        <v>3.0</v>
      </c>
      <c r="D70" s="1">
        <v>103.337321</v>
      </c>
      <c r="E70" s="1">
        <v>69.0</v>
      </c>
    </row>
    <row r="71">
      <c r="A71" s="1" t="s">
        <v>116</v>
      </c>
      <c r="B71" s="1">
        <v>1.0</v>
      </c>
      <c r="D71" s="1">
        <v>105.237923</v>
      </c>
      <c r="E71" s="1">
        <v>70.0</v>
      </c>
    </row>
    <row r="72">
      <c r="A72" s="1" t="s">
        <v>37</v>
      </c>
      <c r="B72" s="1">
        <v>0.0</v>
      </c>
      <c r="D72" s="1">
        <v>107.219068</v>
      </c>
      <c r="E72" s="1">
        <v>71.0</v>
      </c>
    </row>
    <row r="73">
      <c r="A73" s="1" t="s">
        <v>37</v>
      </c>
      <c r="B73" s="1">
        <v>0.0</v>
      </c>
      <c r="D73" s="1">
        <v>107.226258</v>
      </c>
      <c r="E73" s="1">
        <v>72.0</v>
      </c>
    </row>
    <row r="74">
      <c r="A74" s="1" t="s">
        <v>117</v>
      </c>
      <c r="B74" s="1">
        <v>1.0</v>
      </c>
      <c r="D74" s="1">
        <v>107.295455</v>
      </c>
      <c r="E74" s="1">
        <v>73.0</v>
      </c>
    </row>
    <row r="75">
      <c r="A75" s="1" t="s">
        <v>37</v>
      </c>
      <c r="B75" s="1">
        <v>0.0</v>
      </c>
      <c r="D75" s="1">
        <v>107.671096</v>
      </c>
      <c r="E75" s="1">
        <v>74.0</v>
      </c>
    </row>
    <row r="76">
      <c r="A76" s="1" t="s">
        <v>37</v>
      </c>
      <c r="B76" s="1">
        <v>0.0</v>
      </c>
      <c r="D76" s="1">
        <v>107.988577</v>
      </c>
      <c r="E76" s="1">
        <v>75.0</v>
      </c>
    </row>
    <row r="77">
      <c r="A77" s="1" t="s">
        <v>118</v>
      </c>
      <c r="B77" s="1">
        <v>1.0</v>
      </c>
      <c r="D77" s="1">
        <v>109.199182</v>
      </c>
      <c r="E77" s="1">
        <v>76.0</v>
      </c>
    </row>
    <row r="78">
      <c r="A78" s="1" t="s">
        <v>119</v>
      </c>
      <c r="B78" s="1">
        <v>1.0</v>
      </c>
      <c r="D78" s="1">
        <v>110.402396</v>
      </c>
      <c r="E78" s="1">
        <v>77.0</v>
      </c>
    </row>
    <row r="79">
      <c r="A79" s="1" t="s">
        <v>37</v>
      </c>
      <c r="B79" s="1">
        <v>0.0</v>
      </c>
      <c r="D79" s="1">
        <v>110.768019</v>
      </c>
      <c r="E79" s="1">
        <v>78.0</v>
      </c>
    </row>
    <row r="80">
      <c r="A80" s="1" t="s">
        <v>37</v>
      </c>
      <c r="B80" s="1">
        <v>0.0</v>
      </c>
      <c r="D80" s="1">
        <v>114.714798</v>
      </c>
      <c r="E80" s="1">
        <v>79.0</v>
      </c>
    </row>
    <row r="81">
      <c r="A81" s="1" t="s">
        <v>120</v>
      </c>
      <c r="B81" s="1">
        <v>1.0</v>
      </c>
      <c r="D81" s="1">
        <v>116.88034</v>
      </c>
      <c r="E81" s="1">
        <v>80.0</v>
      </c>
    </row>
    <row r="82">
      <c r="A82" s="1" t="s">
        <v>37</v>
      </c>
      <c r="B82" s="1">
        <v>0.0</v>
      </c>
      <c r="D82" s="1">
        <v>117.88514</v>
      </c>
      <c r="E82" s="1">
        <v>81.0</v>
      </c>
    </row>
    <row r="83">
      <c r="A83" s="1" t="s">
        <v>121</v>
      </c>
      <c r="B83" s="1">
        <v>2.0</v>
      </c>
      <c r="D83" s="1">
        <v>118.660357</v>
      </c>
      <c r="E83" s="1">
        <v>82.0</v>
      </c>
    </row>
    <row r="84">
      <c r="A84" s="1" t="s">
        <v>37</v>
      </c>
      <c r="B84" s="1">
        <v>0.0</v>
      </c>
      <c r="D84" s="1">
        <v>118.697395</v>
      </c>
      <c r="E84" s="1">
        <v>83.0</v>
      </c>
    </row>
    <row r="85">
      <c r="A85" s="1" t="s">
        <v>122</v>
      </c>
      <c r="B85" s="1">
        <v>1.0</v>
      </c>
      <c r="D85" s="1">
        <v>120.313059</v>
      </c>
      <c r="E85" s="1">
        <v>84.0</v>
      </c>
    </row>
    <row r="86">
      <c r="A86" s="1" t="s">
        <v>37</v>
      </c>
      <c r="B86" s="1">
        <v>0.0</v>
      </c>
      <c r="D86" s="1">
        <v>121.778717</v>
      </c>
      <c r="E86" s="1">
        <v>85.0</v>
      </c>
    </row>
    <row r="87">
      <c r="A87" s="1" t="s">
        <v>123</v>
      </c>
      <c r="B87" s="1">
        <v>2.0</v>
      </c>
      <c r="D87" s="1">
        <v>122.158037</v>
      </c>
      <c r="E87" s="1">
        <v>86.0</v>
      </c>
    </row>
    <row r="88">
      <c r="A88" s="1" t="s">
        <v>124</v>
      </c>
      <c r="B88" s="1">
        <v>1.0</v>
      </c>
      <c r="D88" s="1">
        <v>122.781918</v>
      </c>
      <c r="E88" s="1">
        <v>87.0</v>
      </c>
    </row>
    <row r="89">
      <c r="A89" s="1" t="s">
        <v>37</v>
      </c>
      <c r="B89" s="1">
        <v>0.0</v>
      </c>
      <c r="D89" s="1">
        <v>122.806508</v>
      </c>
      <c r="E89" s="1">
        <v>88.0</v>
      </c>
    </row>
    <row r="90">
      <c r="A90" s="1" t="s">
        <v>125</v>
      </c>
      <c r="B90" s="1">
        <v>1.0</v>
      </c>
      <c r="D90" s="1">
        <v>122.907447</v>
      </c>
      <c r="E90" s="1">
        <v>89.0</v>
      </c>
    </row>
    <row r="91">
      <c r="A91" s="1" t="s">
        <v>37</v>
      </c>
      <c r="B91" s="1">
        <v>0.0</v>
      </c>
      <c r="D91" s="1">
        <v>127.114454</v>
      </c>
      <c r="E91" s="1">
        <v>90.0</v>
      </c>
    </row>
    <row r="92">
      <c r="A92" s="1" t="s">
        <v>37</v>
      </c>
      <c r="B92" s="1">
        <v>0.0</v>
      </c>
      <c r="D92" s="1">
        <v>129.349848</v>
      </c>
      <c r="E92" s="1">
        <v>91.0</v>
      </c>
    </row>
    <row r="93">
      <c r="A93" s="1" t="s">
        <v>126</v>
      </c>
      <c r="B93" s="1">
        <v>2.0</v>
      </c>
      <c r="D93" s="1">
        <v>132.293974</v>
      </c>
      <c r="E93" s="1">
        <v>92.0</v>
      </c>
    </row>
    <row r="94">
      <c r="A94" s="1" t="s">
        <v>37</v>
      </c>
      <c r="B94" s="1">
        <v>0.0</v>
      </c>
      <c r="D94" s="1">
        <v>135.011655</v>
      </c>
      <c r="E94" s="1">
        <v>93.0</v>
      </c>
    </row>
    <row r="95">
      <c r="A95" s="1" t="s">
        <v>127</v>
      </c>
      <c r="B95" s="1">
        <v>3.0</v>
      </c>
      <c r="D95" s="1">
        <v>135.912101</v>
      </c>
      <c r="E95" s="1">
        <v>94.0</v>
      </c>
    </row>
    <row r="96">
      <c r="A96" s="1" t="s">
        <v>37</v>
      </c>
      <c r="B96" s="1">
        <v>0.0</v>
      </c>
      <c r="D96" s="1">
        <v>137.558373</v>
      </c>
      <c r="E96" s="1">
        <v>95.0</v>
      </c>
    </row>
    <row r="97">
      <c r="A97" s="1" t="s">
        <v>37</v>
      </c>
      <c r="B97" s="1">
        <v>0.0</v>
      </c>
      <c r="D97" s="1">
        <v>137.83895</v>
      </c>
      <c r="E97" s="1">
        <v>96.0</v>
      </c>
    </row>
    <row r="98">
      <c r="A98" s="1" t="s">
        <v>128</v>
      </c>
      <c r="B98" s="1">
        <v>2.0</v>
      </c>
      <c r="D98" s="1">
        <v>138.010312</v>
      </c>
      <c r="E98" s="1">
        <v>97.0</v>
      </c>
    </row>
    <row r="99">
      <c r="A99" s="1" t="s">
        <v>129</v>
      </c>
      <c r="B99" s="1">
        <v>1.0</v>
      </c>
      <c r="D99" s="1">
        <v>138.689663</v>
      </c>
      <c r="E99" s="1">
        <v>98.0</v>
      </c>
    </row>
    <row r="100">
      <c r="A100" s="1" t="s">
        <v>130</v>
      </c>
      <c r="B100" s="1">
        <v>1.0</v>
      </c>
      <c r="D100" s="1">
        <v>139.862422</v>
      </c>
      <c r="E100" s="1">
        <v>99.0</v>
      </c>
    </row>
    <row r="101">
      <c r="A101" s="1" t="s">
        <v>131</v>
      </c>
      <c r="B101" s="1">
        <v>2.0</v>
      </c>
      <c r="D101" s="1">
        <v>143.308433</v>
      </c>
      <c r="E101" s="1">
        <v>100.0</v>
      </c>
    </row>
    <row r="102">
      <c r="A102" s="1" t="s">
        <v>37</v>
      </c>
      <c r="B102" s="1">
        <v>0.0</v>
      </c>
      <c r="D102" s="1">
        <v>144.278608</v>
      </c>
      <c r="E102" s="1">
        <v>101.0</v>
      </c>
    </row>
    <row r="103">
      <c r="A103" s="1" t="s">
        <v>132</v>
      </c>
      <c r="B103" s="1">
        <v>2.0</v>
      </c>
      <c r="D103" s="1">
        <v>145.73188</v>
      </c>
      <c r="E103" s="1">
        <v>102.0</v>
      </c>
    </row>
    <row r="104">
      <c r="A104" s="1" t="s">
        <v>133</v>
      </c>
      <c r="B104" s="1">
        <v>1.0</v>
      </c>
      <c r="D104" s="1">
        <v>148.745268</v>
      </c>
      <c r="E104" s="1">
        <v>103.0</v>
      </c>
    </row>
    <row r="105">
      <c r="A105" s="1" t="s">
        <v>37</v>
      </c>
      <c r="B105" s="1">
        <v>0.0</v>
      </c>
      <c r="D105" s="1">
        <v>150.165845</v>
      </c>
      <c r="E105" s="1">
        <v>104.0</v>
      </c>
    </row>
    <row r="106">
      <c r="A106" s="1" t="s">
        <v>134</v>
      </c>
      <c r="B106" s="1">
        <v>1.0</v>
      </c>
      <c r="D106" s="1">
        <v>150.785995</v>
      </c>
      <c r="E106" s="1">
        <v>105.0</v>
      </c>
    </row>
    <row r="107">
      <c r="A107" s="1" t="s">
        <v>37</v>
      </c>
      <c r="B107" s="1">
        <v>0.0</v>
      </c>
      <c r="D107" s="1">
        <v>152.551194</v>
      </c>
      <c r="E107" s="1">
        <v>106.0</v>
      </c>
    </row>
    <row r="108">
      <c r="A108" s="1" t="s">
        <v>135</v>
      </c>
      <c r="B108" s="1">
        <v>5.0</v>
      </c>
      <c r="D108" s="1">
        <v>152.828089</v>
      </c>
      <c r="E108" s="1">
        <v>107.0</v>
      </c>
    </row>
    <row r="109">
      <c r="A109" s="1" t="s">
        <v>37</v>
      </c>
      <c r="B109" s="1">
        <v>0.0</v>
      </c>
      <c r="D109" s="1">
        <v>155.742908</v>
      </c>
      <c r="E109" s="1">
        <v>108.0</v>
      </c>
    </row>
    <row r="110">
      <c r="A110" s="1" t="s">
        <v>136</v>
      </c>
      <c r="B110" s="1">
        <v>1.0</v>
      </c>
      <c r="D110" s="1">
        <v>157.981856</v>
      </c>
      <c r="E110" s="1">
        <v>109.0</v>
      </c>
    </row>
    <row r="111">
      <c r="A111" s="1" t="s">
        <v>137</v>
      </c>
      <c r="B111" s="1">
        <v>2.0</v>
      </c>
      <c r="D111" s="1">
        <v>159.685503</v>
      </c>
      <c r="E111" s="1">
        <v>110.0</v>
      </c>
    </row>
    <row r="112">
      <c r="A112" s="1" t="s">
        <v>37</v>
      </c>
      <c r="B112" s="1">
        <v>0.0</v>
      </c>
      <c r="D112" s="1">
        <v>166.232619</v>
      </c>
      <c r="E112" s="1">
        <v>111.0</v>
      </c>
    </row>
    <row r="113">
      <c r="A113" s="1" t="s">
        <v>37</v>
      </c>
      <c r="B113" s="1">
        <v>0.0</v>
      </c>
      <c r="D113" s="1">
        <v>169.035502</v>
      </c>
      <c r="E113" s="1">
        <v>112.0</v>
      </c>
    </row>
    <row r="114">
      <c r="A114" s="1" t="s">
        <v>37</v>
      </c>
      <c r="B114" s="1">
        <v>0.0</v>
      </c>
      <c r="D114" s="1"/>
      <c r="E114" s="1"/>
    </row>
    <row r="115">
      <c r="A115" s="1" t="s">
        <v>138</v>
      </c>
      <c r="B115" s="1">
        <v>1.0</v>
      </c>
      <c r="D115" s="1"/>
      <c r="E115" s="1"/>
    </row>
    <row r="116">
      <c r="A116" s="1" t="s">
        <v>37</v>
      </c>
      <c r="B116" s="1">
        <v>0.0</v>
      </c>
      <c r="D116" s="1"/>
      <c r="E116" s="1"/>
    </row>
    <row r="117">
      <c r="A117" s="1" t="s">
        <v>139</v>
      </c>
      <c r="B117" s="1">
        <v>1.0</v>
      </c>
      <c r="D117" s="1"/>
      <c r="E117" s="1"/>
    </row>
    <row r="118">
      <c r="A118" s="1" t="s">
        <v>140</v>
      </c>
      <c r="B118" s="1">
        <v>1.0</v>
      </c>
      <c r="D118" s="1"/>
      <c r="E118" s="1"/>
    </row>
    <row r="119">
      <c r="A119" s="1" t="s">
        <v>141</v>
      </c>
      <c r="B119" s="1">
        <v>2.0</v>
      </c>
      <c r="D119" s="1"/>
      <c r="E119" s="1"/>
    </row>
    <row r="120">
      <c r="A120" s="1" t="s">
        <v>37</v>
      </c>
      <c r="B120" s="1">
        <v>0.0</v>
      </c>
      <c r="D120" s="1"/>
      <c r="E120" s="1"/>
    </row>
    <row r="121">
      <c r="A121" s="1" t="s">
        <v>142</v>
      </c>
      <c r="B121" s="1">
        <v>1.0</v>
      </c>
      <c r="D121" s="1"/>
      <c r="E121" s="1"/>
    </row>
    <row r="122">
      <c r="A122" s="1" t="s">
        <v>143</v>
      </c>
      <c r="B122" s="1">
        <v>1.0</v>
      </c>
      <c r="D122" s="1"/>
      <c r="E122" s="1"/>
    </row>
    <row r="123">
      <c r="A123" s="1" t="s">
        <v>144</v>
      </c>
      <c r="B123" s="1">
        <v>4.0</v>
      </c>
      <c r="D123" s="1"/>
      <c r="E123" s="1"/>
    </row>
    <row r="124">
      <c r="A124" s="1" t="s">
        <v>37</v>
      </c>
      <c r="B124" s="1">
        <v>0.0</v>
      </c>
      <c r="D124" s="1"/>
      <c r="E124" s="1"/>
    </row>
    <row r="125">
      <c r="A125" s="1" t="s">
        <v>37</v>
      </c>
      <c r="B125" s="1">
        <v>0.0</v>
      </c>
      <c r="D125" s="1"/>
      <c r="E125" s="1"/>
    </row>
    <row r="126">
      <c r="A126" s="1" t="s">
        <v>37</v>
      </c>
      <c r="B126" s="1">
        <v>0.0</v>
      </c>
      <c r="D126" s="1"/>
      <c r="E126" s="1"/>
    </row>
    <row r="127">
      <c r="A127" s="1" t="s">
        <v>37</v>
      </c>
      <c r="B127" s="1">
        <v>0.0</v>
      </c>
      <c r="D127" s="1"/>
      <c r="E127" s="1"/>
    </row>
    <row r="128">
      <c r="A128" s="1" t="s">
        <v>145</v>
      </c>
      <c r="B128" s="1">
        <v>1.0</v>
      </c>
      <c r="D128" s="1"/>
      <c r="E128" s="1"/>
    </row>
    <row r="129">
      <c r="A129" s="1" t="s">
        <v>37</v>
      </c>
      <c r="B129" s="1">
        <v>0.0</v>
      </c>
      <c r="D129" s="1"/>
      <c r="E129" s="1"/>
    </row>
    <row r="130">
      <c r="A130" s="1" t="s">
        <v>146</v>
      </c>
      <c r="B130" s="1">
        <v>1.0</v>
      </c>
      <c r="D130" s="1"/>
      <c r="E130" s="1"/>
    </row>
    <row r="131">
      <c r="A131" s="1" t="s">
        <v>37</v>
      </c>
      <c r="B131" s="1">
        <v>0.0</v>
      </c>
      <c r="D131" s="1"/>
      <c r="E131" s="1"/>
    </row>
    <row r="132">
      <c r="A132" s="1" t="s">
        <v>37</v>
      </c>
      <c r="B132" s="1">
        <v>0.0</v>
      </c>
      <c r="D132" s="1"/>
      <c r="E132" s="1"/>
    </row>
    <row r="133">
      <c r="A133" s="1" t="s">
        <v>147</v>
      </c>
      <c r="B133" s="1">
        <v>1.0</v>
      </c>
      <c r="D133" s="1"/>
      <c r="E133" s="1"/>
    </row>
    <row r="134">
      <c r="A134" s="1" t="s">
        <v>37</v>
      </c>
      <c r="B134" s="1">
        <v>0.0</v>
      </c>
      <c r="D134" s="1"/>
      <c r="E134" s="1"/>
    </row>
    <row r="135">
      <c r="A135" s="1" t="s">
        <v>37</v>
      </c>
      <c r="B135" s="1">
        <v>0.0</v>
      </c>
      <c r="D135" s="1"/>
      <c r="E135" s="1"/>
    </row>
    <row r="136">
      <c r="A136" s="1" t="s">
        <v>148</v>
      </c>
      <c r="B136" s="1">
        <v>2.0</v>
      </c>
      <c r="D136" s="1"/>
      <c r="E136" s="1"/>
    </row>
    <row r="137">
      <c r="A137" s="1" t="s">
        <v>37</v>
      </c>
      <c r="B137" s="1">
        <v>0.0</v>
      </c>
      <c r="D137" s="1"/>
      <c r="E137" s="1"/>
    </row>
    <row r="138">
      <c r="A138" s="1" t="s">
        <v>149</v>
      </c>
      <c r="B138" s="1">
        <v>2.0</v>
      </c>
      <c r="D138" s="1"/>
      <c r="E138" s="1"/>
    </row>
    <row r="139">
      <c r="A139" s="1" t="s">
        <v>150</v>
      </c>
      <c r="B139" s="1">
        <v>2.0</v>
      </c>
      <c r="D139" s="1"/>
      <c r="E139" s="1"/>
    </row>
    <row r="140">
      <c r="A140" s="1" t="s">
        <v>151</v>
      </c>
      <c r="B140" s="1">
        <v>1.0</v>
      </c>
      <c r="D140" s="1"/>
      <c r="E140" s="1"/>
    </row>
    <row r="141">
      <c r="A141" s="1" t="s">
        <v>37</v>
      </c>
      <c r="B141" s="1">
        <v>0.0</v>
      </c>
      <c r="D141" s="1"/>
      <c r="E141" s="1"/>
    </row>
    <row r="142">
      <c r="A142" s="1" t="s">
        <v>37</v>
      </c>
      <c r="B142" s="1">
        <v>0.0</v>
      </c>
      <c r="D142" s="1"/>
      <c r="E142" s="1"/>
    </row>
    <row r="143">
      <c r="A143" s="1" t="s">
        <v>37</v>
      </c>
      <c r="B143" s="1">
        <v>0.0</v>
      </c>
      <c r="D143" s="1"/>
      <c r="E143" s="1"/>
    </row>
    <row r="144">
      <c r="A144" s="1" t="s">
        <v>152</v>
      </c>
      <c r="B144" s="1">
        <v>1.0</v>
      </c>
      <c r="D144" s="1"/>
      <c r="E144" s="1"/>
    </row>
    <row r="145">
      <c r="A145" s="1" t="s">
        <v>153</v>
      </c>
      <c r="B145" s="1">
        <v>1.0</v>
      </c>
    </row>
    <row r="146">
      <c r="A146" s="1" t="s">
        <v>154</v>
      </c>
      <c r="B146" s="1">
        <v>1.0</v>
      </c>
    </row>
    <row r="147">
      <c r="A147" s="1" t="s">
        <v>37</v>
      </c>
      <c r="B147" s="1">
        <v>0.0</v>
      </c>
    </row>
    <row r="148">
      <c r="A148" s="1" t="s">
        <v>37</v>
      </c>
      <c r="B148" s="1">
        <v>0.0</v>
      </c>
    </row>
    <row r="149">
      <c r="A149" s="1" t="s">
        <v>155</v>
      </c>
      <c r="B149" s="1">
        <v>1.0</v>
      </c>
    </row>
    <row r="150">
      <c r="A150" s="1" t="s">
        <v>37</v>
      </c>
      <c r="B150" s="1">
        <v>0.0</v>
      </c>
    </row>
    <row r="151">
      <c r="A151" s="1" t="s">
        <v>156</v>
      </c>
      <c r="B151" s="1">
        <v>2.0</v>
      </c>
    </row>
    <row r="152">
      <c r="A152" s="1" t="s">
        <v>37</v>
      </c>
      <c r="B152" s="1">
        <v>0.0</v>
      </c>
    </row>
    <row r="153">
      <c r="A153" s="1" t="s">
        <v>157</v>
      </c>
      <c r="B153" s="1">
        <v>2.0</v>
      </c>
    </row>
    <row r="154">
      <c r="A154" s="1" t="s">
        <v>37</v>
      </c>
      <c r="B154" s="1">
        <v>0.0</v>
      </c>
    </row>
    <row r="155">
      <c r="A155" s="1" t="s">
        <v>37</v>
      </c>
      <c r="B155" s="1">
        <v>0.0</v>
      </c>
    </row>
    <row r="156">
      <c r="A156" s="1" t="s">
        <v>158</v>
      </c>
      <c r="B156" s="1">
        <v>1.0</v>
      </c>
    </row>
    <row r="157">
      <c r="A157" s="1" t="s">
        <v>37</v>
      </c>
      <c r="B157" s="1">
        <v>0.0</v>
      </c>
    </row>
    <row r="158">
      <c r="A158" s="1" t="s">
        <v>159</v>
      </c>
      <c r="B158" s="1">
        <v>1.0</v>
      </c>
    </row>
    <row r="159">
      <c r="A159" s="1" t="s">
        <v>37</v>
      </c>
      <c r="B159" s="1">
        <v>0.0</v>
      </c>
    </row>
    <row r="160">
      <c r="A160" s="1" t="s">
        <v>160</v>
      </c>
      <c r="B160" s="1">
        <v>1.0</v>
      </c>
    </row>
    <row r="161">
      <c r="A161" s="1" t="s">
        <v>37</v>
      </c>
      <c r="B161" s="1">
        <v>0.0</v>
      </c>
    </row>
    <row r="162">
      <c r="A162" s="1" t="s">
        <v>37</v>
      </c>
      <c r="B162" s="1">
        <v>0.0</v>
      </c>
    </row>
    <row r="163">
      <c r="A163" s="1" t="s">
        <v>37</v>
      </c>
      <c r="B163" s="1">
        <v>0.0</v>
      </c>
    </row>
    <row r="164">
      <c r="A164" s="1" t="s">
        <v>37</v>
      </c>
      <c r="B164" s="1">
        <v>0.0</v>
      </c>
    </row>
    <row r="165">
      <c r="A165" s="1" t="s">
        <v>37</v>
      </c>
      <c r="B165" s="1">
        <v>0.0</v>
      </c>
    </row>
    <row r="166">
      <c r="A166" s="1" t="s">
        <v>37</v>
      </c>
      <c r="B166" s="1">
        <v>0.0</v>
      </c>
    </row>
    <row r="167">
      <c r="A167" s="1" t="s">
        <v>161</v>
      </c>
      <c r="B167" s="1">
        <v>1.0</v>
      </c>
    </row>
    <row r="168">
      <c r="A168" s="1" t="s">
        <v>37</v>
      </c>
      <c r="B168" s="1">
        <v>0.0</v>
      </c>
    </row>
    <row r="169">
      <c r="A169" s="1" t="s">
        <v>37</v>
      </c>
      <c r="B169" s="1">
        <v>0.0</v>
      </c>
    </row>
    <row r="170">
      <c r="A170" s="1" t="s">
        <v>162</v>
      </c>
      <c r="B170" s="1">
        <v>1.0</v>
      </c>
    </row>
    <row r="171">
      <c r="A171" s="1" t="s">
        <v>37</v>
      </c>
      <c r="B171" s="1">
        <v>0.0</v>
      </c>
    </row>
    <row r="172">
      <c r="A172" s="1" t="s">
        <v>37</v>
      </c>
      <c r="B172" s="1">
        <v>0.0</v>
      </c>
    </row>
    <row r="173">
      <c r="A173" s="1" t="s">
        <v>37</v>
      </c>
      <c r="B173" s="1">
        <v>0.0</v>
      </c>
    </row>
    <row r="174">
      <c r="A174" s="1" t="s">
        <v>37</v>
      </c>
      <c r="B174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163</v>
      </c>
      <c r="C1" s="1" t="s">
        <v>164</v>
      </c>
      <c r="D1" s="1" t="s">
        <v>2</v>
      </c>
      <c r="E1" s="1" t="s">
        <v>30</v>
      </c>
      <c r="F1" s="1"/>
    </row>
    <row r="2">
      <c r="A2" s="1" t="s">
        <v>31</v>
      </c>
      <c r="B2" s="1">
        <v>1.0</v>
      </c>
      <c r="D2" s="1">
        <v>1.000001</v>
      </c>
      <c r="E2" s="1">
        <v>1.0</v>
      </c>
      <c r="F2" s="1"/>
      <c r="G2" s="1" t="s">
        <v>6</v>
      </c>
      <c r="H2" s="1" t="s">
        <v>33</v>
      </c>
    </row>
    <row r="3">
      <c r="A3" s="1" t="s">
        <v>165</v>
      </c>
      <c r="B3" s="1">
        <v>2.0</v>
      </c>
      <c r="D3" s="1">
        <v>2.288715</v>
      </c>
      <c r="E3" s="1">
        <v>2.0</v>
      </c>
      <c r="F3" s="1"/>
      <c r="G3" s="5">
        <f>166/300</f>
        <v>0.5533333333</v>
      </c>
      <c r="H3" s="5">
        <f>G3*5</f>
        <v>2.766666667</v>
      </c>
    </row>
    <row r="4">
      <c r="A4" s="1" t="s">
        <v>166</v>
      </c>
      <c r="B4" s="1">
        <v>1.0</v>
      </c>
      <c r="D4" s="1">
        <v>2.0</v>
      </c>
      <c r="E4" s="1">
        <v>3.0</v>
      </c>
      <c r="F4" s="1"/>
      <c r="G4" s="1" t="s">
        <v>85</v>
      </c>
    </row>
    <row r="5">
      <c r="A5" s="1" t="s">
        <v>37</v>
      </c>
      <c r="B5" s="1">
        <v>0.0</v>
      </c>
      <c r="D5" s="1">
        <v>2.113028</v>
      </c>
      <c r="E5" s="1">
        <v>4.0</v>
      </c>
      <c r="F5" s="1"/>
      <c r="G5" s="5">
        <f>SQRT(166)/300</f>
        <v>0.04294699576</v>
      </c>
      <c r="H5" s="5">
        <f>(SQRT(166)*5)/300</f>
        <v>0.2147349788</v>
      </c>
    </row>
    <row r="6">
      <c r="A6" s="1" t="s">
        <v>37</v>
      </c>
      <c r="B6" s="1">
        <v>0.0</v>
      </c>
      <c r="D6" s="1">
        <v>2.705809</v>
      </c>
      <c r="E6" s="1">
        <v>5.0</v>
      </c>
      <c r="F6" s="1"/>
    </row>
    <row r="7">
      <c r="A7" s="1" t="s">
        <v>167</v>
      </c>
      <c r="B7" s="1">
        <v>1.0</v>
      </c>
      <c r="D7" s="1">
        <v>3.713111</v>
      </c>
      <c r="E7" s="1">
        <v>6.0</v>
      </c>
      <c r="F7" s="1"/>
    </row>
    <row r="8">
      <c r="A8" s="1" t="s">
        <v>37</v>
      </c>
      <c r="B8" s="1">
        <v>0.0</v>
      </c>
      <c r="D8" s="1">
        <v>6.727377</v>
      </c>
      <c r="E8" s="1">
        <v>7.0</v>
      </c>
      <c r="F8" s="1"/>
    </row>
    <row r="9">
      <c r="A9" s="1" t="s">
        <v>37</v>
      </c>
      <c r="B9" s="1">
        <v>0.0</v>
      </c>
      <c r="D9" s="1">
        <v>9.345897</v>
      </c>
      <c r="E9" s="1">
        <v>8.0</v>
      </c>
      <c r="F9" s="1"/>
    </row>
    <row r="10">
      <c r="A10" s="1" t="s">
        <v>168</v>
      </c>
      <c r="B10" s="1">
        <v>1.0</v>
      </c>
      <c r="D10" s="1">
        <v>11.540461</v>
      </c>
      <c r="E10" s="1">
        <v>9.0</v>
      </c>
      <c r="F10" s="1"/>
    </row>
    <row r="11">
      <c r="A11" s="1" t="s">
        <v>37</v>
      </c>
      <c r="B11" s="1">
        <v>0.0</v>
      </c>
      <c r="D11" s="1">
        <v>12.700026</v>
      </c>
      <c r="E11" s="1">
        <v>10.0</v>
      </c>
      <c r="F11" s="1"/>
    </row>
    <row r="12">
      <c r="A12" s="1" t="s">
        <v>169</v>
      </c>
      <c r="B12" s="1">
        <v>1.0</v>
      </c>
      <c r="D12" s="1">
        <v>16.372262</v>
      </c>
      <c r="E12" s="1">
        <v>11.0</v>
      </c>
      <c r="F12" s="1"/>
    </row>
    <row r="13">
      <c r="A13" s="1" t="s">
        <v>170</v>
      </c>
      <c r="B13" s="1">
        <v>1.0</v>
      </c>
      <c r="D13" s="1">
        <v>19.860943</v>
      </c>
      <c r="E13" s="1">
        <v>12.0</v>
      </c>
      <c r="F13" s="1"/>
    </row>
    <row r="14">
      <c r="A14" s="1" t="s">
        <v>37</v>
      </c>
      <c r="B14" s="1">
        <v>0.0</v>
      </c>
      <c r="D14" s="1">
        <v>22.746701</v>
      </c>
      <c r="E14" s="1">
        <v>13.0</v>
      </c>
      <c r="F14" s="1"/>
    </row>
    <row r="15">
      <c r="A15" s="1" t="s">
        <v>37</v>
      </c>
      <c r="B15" s="1">
        <v>0.0</v>
      </c>
      <c r="D15" s="1">
        <v>23.291775</v>
      </c>
      <c r="E15" s="1">
        <v>14.0</v>
      </c>
      <c r="F15" s="1"/>
    </row>
    <row r="16">
      <c r="A16" s="1" t="s">
        <v>37</v>
      </c>
      <c r="B16" s="1">
        <v>0.0</v>
      </c>
      <c r="D16" s="1">
        <v>24.085063</v>
      </c>
      <c r="E16" s="1">
        <v>15.0</v>
      </c>
      <c r="F16" s="1"/>
    </row>
    <row r="17">
      <c r="A17" s="1" t="s">
        <v>171</v>
      </c>
      <c r="B17" s="1">
        <v>1.0</v>
      </c>
      <c r="D17" s="1">
        <v>33.275888</v>
      </c>
      <c r="E17" s="1">
        <v>16.0</v>
      </c>
      <c r="F17" s="1"/>
    </row>
    <row r="18">
      <c r="A18" s="1" t="s">
        <v>37</v>
      </c>
      <c r="B18" s="1">
        <v>0.0</v>
      </c>
      <c r="D18" s="1">
        <v>36.281327</v>
      </c>
      <c r="E18" s="1">
        <v>17.0</v>
      </c>
      <c r="F18" s="1"/>
    </row>
    <row r="19">
      <c r="A19" s="1" t="s">
        <v>37</v>
      </c>
      <c r="B19" s="1">
        <v>0.0</v>
      </c>
      <c r="D19" s="1">
        <v>36.856158</v>
      </c>
      <c r="E19" s="1">
        <v>18.0</v>
      </c>
      <c r="F19" s="1"/>
    </row>
    <row r="20">
      <c r="A20" s="1" t="s">
        <v>172</v>
      </c>
      <c r="B20" s="1">
        <v>1.0</v>
      </c>
      <c r="D20" s="1">
        <v>37.690867</v>
      </c>
      <c r="E20" s="1">
        <v>19.0</v>
      </c>
      <c r="F20" s="1"/>
    </row>
    <row r="21">
      <c r="A21" s="1" t="s">
        <v>37</v>
      </c>
      <c r="B21" s="1">
        <v>0.0</v>
      </c>
      <c r="D21" s="1">
        <v>38.892055</v>
      </c>
      <c r="E21" s="1">
        <v>20.0</v>
      </c>
      <c r="F21" s="1"/>
    </row>
    <row r="22">
      <c r="A22" s="1" t="s">
        <v>37</v>
      </c>
      <c r="B22" s="1">
        <v>0.0</v>
      </c>
      <c r="D22" s="1">
        <v>40.485624</v>
      </c>
      <c r="E22" s="1">
        <v>21.0</v>
      </c>
      <c r="F22" s="1"/>
    </row>
    <row r="23">
      <c r="A23" s="1" t="s">
        <v>173</v>
      </c>
      <c r="B23" s="1">
        <v>1.0</v>
      </c>
      <c r="D23" s="1">
        <v>43.414032</v>
      </c>
      <c r="E23" s="1">
        <v>22.0</v>
      </c>
      <c r="F23" s="1"/>
    </row>
    <row r="24">
      <c r="A24" s="1" t="s">
        <v>174</v>
      </c>
      <c r="B24" s="1">
        <v>1.0</v>
      </c>
      <c r="D24" s="1">
        <v>43.922663</v>
      </c>
      <c r="E24" s="1">
        <v>23.0</v>
      </c>
      <c r="F24" s="1"/>
    </row>
    <row r="25">
      <c r="A25" s="1" t="s">
        <v>175</v>
      </c>
      <c r="B25" s="1">
        <v>1.0</v>
      </c>
      <c r="D25" s="1">
        <v>50.549967</v>
      </c>
      <c r="E25" s="1">
        <v>24.0</v>
      </c>
      <c r="F25" s="1"/>
    </row>
    <row r="26">
      <c r="A26" s="1" t="s">
        <v>37</v>
      </c>
      <c r="B26" s="1">
        <v>0.0</v>
      </c>
      <c r="D26" s="1">
        <v>50.573226</v>
      </c>
      <c r="E26" s="1">
        <v>25.0</v>
      </c>
      <c r="F26" s="1"/>
    </row>
    <row r="27">
      <c r="A27" s="1" t="s">
        <v>37</v>
      </c>
      <c r="B27" s="1">
        <v>0.0</v>
      </c>
      <c r="D27" s="1">
        <v>51.394307</v>
      </c>
      <c r="E27" s="1">
        <v>26.0</v>
      </c>
      <c r="F27" s="1"/>
    </row>
    <row r="28">
      <c r="A28" s="1" t="s">
        <v>37</v>
      </c>
      <c r="B28" s="1">
        <v>0.0</v>
      </c>
      <c r="D28" s="1">
        <v>51.537957</v>
      </c>
      <c r="E28" s="1">
        <v>27.0</v>
      </c>
      <c r="F28" s="1"/>
    </row>
    <row r="29">
      <c r="A29" s="1" t="s">
        <v>37</v>
      </c>
      <c r="B29" s="1">
        <v>0.0</v>
      </c>
      <c r="D29" s="1">
        <v>53.151488</v>
      </c>
      <c r="E29" s="1">
        <v>28.0</v>
      </c>
      <c r="F29" s="1"/>
    </row>
    <row r="30">
      <c r="A30" s="1" t="s">
        <v>37</v>
      </c>
      <c r="B30" s="1">
        <v>0.0</v>
      </c>
      <c r="D30" s="1">
        <v>56.81723</v>
      </c>
      <c r="E30" s="1">
        <v>29.0</v>
      </c>
      <c r="F30" s="1"/>
    </row>
    <row r="31">
      <c r="A31" s="1" t="s">
        <v>37</v>
      </c>
      <c r="B31" s="1">
        <v>0.0</v>
      </c>
      <c r="D31" s="1">
        <v>56.910691</v>
      </c>
      <c r="E31" s="1">
        <v>30.0</v>
      </c>
      <c r="F31" s="1"/>
    </row>
    <row r="32">
      <c r="A32" s="1" t="s">
        <v>37</v>
      </c>
      <c r="B32" s="1">
        <v>0.0</v>
      </c>
      <c r="D32" s="1">
        <v>64.148316</v>
      </c>
      <c r="E32" s="1">
        <v>31.0</v>
      </c>
      <c r="F32" s="1"/>
    </row>
    <row r="33">
      <c r="A33" s="1" t="s">
        <v>37</v>
      </c>
      <c r="B33" s="1">
        <v>0.0</v>
      </c>
      <c r="D33" s="1">
        <v>65.942885</v>
      </c>
      <c r="E33" s="1">
        <v>32.0</v>
      </c>
      <c r="F33" s="1"/>
    </row>
    <row r="34">
      <c r="A34" s="1" t="s">
        <v>176</v>
      </c>
      <c r="B34" s="1">
        <v>1.0</v>
      </c>
      <c r="D34" s="1">
        <v>66.030795</v>
      </c>
      <c r="E34" s="1">
        <v>33.0</v>
      </c>
      <c r="F34" s="1"/>
    </row>
    <row r="35">
      <c r="A35" s="1" t="s">
        <v>37</v>
      </c>
      <c r="B35" s="1">
        <v>0.0</v>
      </c>
      <c r="D35" s="1">
        <v>68.870494</v>
      </c>
      <c r="E35" s="1">
        <v>34.0</v>
      </c>
      <c r="F35" s="1"/>
    </row>
    <row r="36">
      <c r="A36" s="1" t="s">
        <v>37</v>
      </c>
      <c r="B36" s="1">
        <v>0.0</v>
      </c>
      <c r="D36" s="1">
        <v>69.535297</v>
      </c>
      <c r="E36" s="1">
        <v>35.0</v>
      </c>
      <c r="F36" s="1"/>
    </row>
    <row r="37">
      <c r="A37" s="1" t="s">
        <v>177</v>
      </c>
      <c r="B37" s="1">
        <v>2.0</v>
      </c>
      <c r="D37" s="1">
        <v>69.802338</v>
      </c>
      <c r="E37" s="1">
        <v>36.0</v>
      </c>
      <c r="F37" s="1"/>
    </row>
    <row r="38">
      <c r="A38" s="1" t="s">
        <v>178</v>
      </c>
      <c r="B38" s="1">
        <v>1.0</v>
      </c>
      <c r="D38" s="1">
        <v>71.074841</v>
      </c>
      <c r="E38" s="1">
        <v>37.0</v>
      </c>
      <c r="F38" s="1"/>
    </row>
    <row r="39">
      <c r="A39" s="1" t="s">
        <v>179</v>
      </c>
      <c r="B39" s="1">
        <v>1.0</v>
      </c>
      <c r="D39" s="1">
        <v>72.743519</v>
      </c>
      <c r="E39" s="1">
        <v>38.0</v>
      </c>
      <c r="F39" s="1"/>
    </row>
    <row r="40">
      <c r="A40" s="1" t="s">
        <v>37</v>
      </c>
      <c r="B40" s="1">
        <v>0.0</v>
      </c>
      <c r="D40" s="1">
        <v>75.378857</v>
      </c>
      <c r="E40" s="1">
        <v>39.0</v>
      </c>
      <c r="F40" s="1"/>
    </row>
    <row r="41">
      <c r="A41" s="1" t="s">
        <v>180</v>
      </c>
      <c r="B41" s="1">
        <v>1.0</v>
      </c>
      <c r="D41" s="1">
        <v>78.05859</v>
      </c>
      <c r="E41" s="1">
        <v>40.0</v>
      </c>
      <c r="F41" s="1"/>
    </row>
    <row r="42">
      <c r="A42" s="1" t="s">
        <v>37</v>
      </c>
      <c r="B42" s="1">
        <v>0.0</v>
      </c>
      <c r="D42" s="1">
        <v>82.65731</v>
      </c>
      <c r="E42" s="1">
        <v>41.0</v>
      </c>
      <c r="F42" s="1"/>
    </row>
    <row r="43">
      <c r="A43" s="1" t="s">
        <v>37</v>
      </c>
      <c r="B43" s="1">
        <v>0.0</v>
      </c>
      <c r="D43" s="1">
        <v>84.897879</v>
      </c>
      <c r="E43" s="1">
        <v>42.0</v>
      </c>
      <c r="F43" s="1"/>
    </row>
    <row r="44">
      <c r="A44" s="1" t="s">
        <v>181</v>
      </c>
      <c r="B44" s="1">
        <v>2.0</v>
      </c>
      <c r="D44" s="1">
        <v>85.96712</v>
      </c>
      <c r="E44" s="1">
        <v>43.0</v>
      </c>
      <c r="F44" s="1"/>
    </row>
    <row r="45">
      <c r="A45" s="1" t="s">
        <v>37</v>
      </c>
      <c r="B45" s="1">
        <v>0.0</v>
      </c>
      <c r="D45" s="1">
        <v>88.524256</v>
      </c>
      <c r="E45" s="1">
        <v>44.0</v>
      </c>
      <c r="F45" s="1"/>
    </row>
    <row r="46">
      <c r="A46" s="1" t="s">
        <v>37</v>
      </c>
      <c r="B46" s="1">
        <v>0.0</v>
      </c>
      <c r="D46" s="1">
        <v>88.815133</v>
      </c>
      <c r="E46" s="1">
        <v>45.0</v>
      </c>
      <c r="F46" s="1"/>
    </row>
    <row r="47">
      <c r="A47" s="1" t="s">
        <v>37</v>
      </c>
      <c r="B47" s="1">
        <v>0.0</v>
      </c>
      <c r="D47" s="1">
        <v>90.911653</v>
      </c>
      <c r="E47" s="1">
        <v>46.0</v>
      </c>
      <c r="F47" s="1"/>
    </row>
    <row r="48">
      <c r="A48" s="1" t="s">
        <v>37</v>
      </c>
      <c r="B48" s="1">
        <v>0.0</v>
      </c>
      <c r="D48" s="1">
        <v>91.511071</v>
      </c>
      <c r="E48" s="1">
        <v>47.0</v>
      </c>
      <c r="F48" s="1"/>
    </row>
    <row r="49">
      <c r="A49" s="1" t="s">
        <v>37</v>
      </c>
      <c r="B49" s="1">
        <v>0.0</v>
      </c>
      <c r="D49" s="1">
        <v>93.795491</v>
      </c>
      <c r="E49" s="1">
        <v>48.0</v>
      </c>
      <c r="F49" s="1"/>
    </row>
    <row r="50">
      <c r="A50" s="1" t="s">
        <v>37</v>
      </c>
      <c r="B50" s="1">
        <v>0.0</v>
      </c>
      <c r="D50" s="1">
        <v>94.792919</v>
      </c>
      <c r="E50" s="1">
        <v>49.0</v>
      </c>
      <c r="F50" s="1"/>
    </row>
    <row r="51">
      <c r="A51" s="1" t="s">
        <v>182</v>
      </c>
      <c r="B51" s="1">
        <v>2.0</v>
      </c>
      <c r="D51" s="1">
        <v>103.08566</v>
      </c>
      <c r="E51" s="1">
        <v>50.0</v>
      </c>
      <c r="F51" s="1"/>
    </row>
    <row r="52">
      <c r="A52" s="1" t="s">
        <v>183</v>
      </c>
      <c r="B52" s="1">
        <v>2.0</v>
      </c>
      <c r="D52" s="1">
        <v>103.085774</v>
      </c>
      <c r="E52" s="1">
        <v>51.0</v>
      </c>
      <c r="F52" s="1"/>
    </row>
    <row r="53">
      <c r="A53" s="1" t="s">
        <v>37</v>
      </c>
      <c r="B53" s="1">
        <v>0.0</v>
      </c>
      <c r="D53" s="1">
        <v>105.375152</v>
      </c>
      <c r="E53" s="1">
        <v>52.0</v>
      </c>
      <c r="F53" s="1"/>
    </row>
    <row r="54">
      <c r="A54" s="1" t="s">
        <v>184</v>
      </c>
      <c r="B54" s="1">
        <v>1.0</v>
      </c>
      <c r="D54" s="1">
        <v>105.880577</v>
      </c>
      <c r="E54" s="1">
        <v>53.0</v>
      </c>
      <c r="F54" s="1"/>
    </row>
    <row r="55">
      <c r="A55" s="1" t="s">
        <v>37</v>
      </c>
      <c r="B55" s="1">
        <v>0.0</v>
      </c>
      <c r="D55" s="1">
        <v>107.243565</v>
      </c>
      <c r="E55" s="1">
        <v>54.0</v>
      </c>
      <c r="F55" s="1"/>
    </row>
    <row r="56">
      <c r="A56" s="1" t="s">
        <v>37</v>
      </c>
      <c r="B56" s="1">
        <v>0.0</v>
      </c>
      <c r="D56" s="1">
        <v>107.906315</v>
      </c>
      <c r="E56" s="1">
        <v>55.0</v>
      </c>
      <c r="F56" s="1"/>
    </row>
    <row r="57">
      <c r="A57" s="1" t="s">
        <v>185</v>
      </c>
      <c r="B57" s="1">
        <v>2.0</v>
      </c>
      <c r="D57" s="1">
        <v>110.7996</v>
      </c>
      <c r="E57" s="1">
        <v>56.0</v>
      </c>
      <c r="F57" s="1"/>
    </row>
    <row r="58">
      <c r="A58" s="1" t="s">
        <v>37</v>
      </c>
      <c r="B58" s="1">
        <v>0.0</v>
      </c>
      <c r="D58" s="1">
        <v>111.53407</v>
      </c>
      <c r="E58" s="1">
        <v>57.0</v>
      </c>
      <c r="F58" s="1"/>
    </row>
    <row r="59">
      <c r="A59" s="1" t="s">
        <v>37</v>
      </c>
      <c r="B59" s="1">
        <v>0.0</v>
      </c>
      <c r="D59" s="1">
        <v>112.154486</v>
      </c>
      <c r="E59" s="1">
        <v>58.0</v>
      </c>
      <c r="F59" s="1"/>
    </row>
    <row r="60">
      <c r="A60" s="1" t="s">
        <v>37</v>
      </c>
      <c r="B60" s="1">
        <v>0.0</v>
      </c>
      <c r="D60" s="1">
        <v>123.383358</v>
      </c>
      <c r="E60" s="1">
        <v>59.0</v>
      </c>
      <c r="F60" s="1"/>
    </row>
    <row r="61">
      <c r="A61" s="1" t="s">
        <v>37</v>
      </c>
      <c r="B61" s="1">
        <v>0.0</v>
      </c>
      <c r="D61" s="1">
        <v>123.566921</v>
      </c>
      <c r="E61" s="1">
        <v>60.0</v>
      </c>
      <c r="F61" s="1"/>
    </row>
    <row r="62">
      <c r="A62" s="1" t="s">
        <v>37</v>
      </c>
      <c r="B62" s="1">
        <v>0.0</v>
      </c>
      <c r="D62" s="1">
        <v>125.378324</v>
      </c>
      <c r="E62" s="1">
        <v>61.0</v>
      </c>
      <c r="F62" s="1"/>
    </row>
    <row r="63">
      <c r="A63" s="1" t="s">
        <v>37</v>
      </c>
      <c r="B63" s="1">
        <v>0.0</v>
      </c>
      <c r="D63" s="1">
        <v>125.926175</v>
      </c>
      <c r="E63" s="1">
        <v>62.0</v>
      </c>
      <c r="F63" s="1"/>
    </row>
    <row r="64">
      <c r="A64" s="1" t="s">
        <v>37</v>
      </c>
      <c r="B64" s="1">
        <v>0.0</v>
      </c>
      <c r="D64" s="1">
        <v>125.976551</v>
      </c>
      <c r="E64" s="1">
        <v>63.0</v>
      </c>
      <c r="F64" s="1"/>
    </row>
    <row r="65">
      <c r="A65" s="1" t="s">
        <v>186</v>
      </c>
      <c r="B65" s="1">
        <v>1.0</v>
      </c>
      <c r="D65" s="1">
        <v>127.127689</v>
      </c>
      <c r="E65" s="1">
        <v>64.0</v>
      </c>
      <c r="F65" s="1"/>
    </row>
    <row r="66">
      <c r="A66" s="1" t="s">
        <v>187</v>
      </c>
      <c r="B66" s="1">
        <v>1.0</v>
      </c>
      <c r="D66" s="1">
        <v>127.722842</v>
      </c>
      <c r="E66" s="1">
        <v>65.0</v>
      </c>
      <c r="F66" s="1"/>
    </row>
    <row r="67">
      <c r="A67" s="1" t="s">
        <v>188</v>
      </c>
      <c r="B67" s="1">
        <v>1.0</v>
      </c>
      <c r="D67" s="1">
        <v>127.839209</v>
      </c>
      <c r="E67" s="1">
        <v>66.0</v>
      </c>
      <c r="F67" s="1"/>
    </row>
    <row r="68">
      <c r="A68" s="1" t="s">
        <v>37</v>
      </c>
      <c r="B68" s="1">
        <v>0.0</v>
      </c>
      <c r="D68" s="1">
        <v>130.620684</v>
      </c>
      <c r="E68" s="1">
        <v>67.0</v>
      </c>
      <c r="F68" s="1"/>
    </row>
    <row r="69">
      <c r="A69" s="1" t="s">
        <v>189</v>
      </c>
      <c r="B69" s="1">
        <v>1.0</v>
      </c>
      <c r="D69" s="1">
        <v>134.572644</v>
      </c>
      <c r="E69" s="1">
        <v>68.0</v>
      </c>
      <c r="F69" s="1"/>
    </row>
    <row r="70">
      <c r="A70" s="1" t="s">
        <v>190</v>
      </c>
      <c r="B70" s="1">
        <v>2.0</v>
      </c>
      <c r="D70" s="1">
        <v>135.38229</v>
      </c>
      <c r="E70" s="1">
        <v>69.0</v>
      </c>
      <c r="F70" s="1"/>
    </row>
    <row r="71">
      <c r="A71" s="1" t="s">
        <v>37</v>
      </c>
      <c r="B71" s="1">
        <v>0.0</v>
      </c>
      <c r="D71" s="1">
        <v>138.783582</v>
      </c>
      <c r="E71" s="1">
        <v>70.0</v>
      </c>
      <c r="F71" s="1"/>
    </row>
    <row r="72">
      <c r="A72" s="1" t="s">
        <v>191</v>
      </c>
      <c r="B72" s="1">
        <v>1.0</v>
      </c>
      <c r="D72" s="1">
        <v>138.880166</v>
      </c>
      <c r="E72" s="1">
        <v>71.0</v>
      </c>
      <c r="F72" s="1"/>
    </row>
    <row r="73">
      <c r="A73" s="1" t="s">
        <v>192</v>
      </c>
      <c r="B73" s="1">
        <v>1.0</v>
      </c>
      <c r="D73" s="1">
        <v>139.299632</v>
      </c>
      <c r="E73" s="1">
        <v>72.0</v>
      </c>
      <c r="F73" s="1"/>
    </row>
    <row r="74">
      <c r="A74" s="1" t="s">
        <v>37</v>
      </c>
      <c r="B74" s="1">
        <v>0.0</v>
      </c>
      <c r="D74" s="1">
        <v>139.644327</v>
      </c>
      <c r="E74" s="1">
        <v>73.0</v>
      </c>
      <c r="F74" s="1"/>
    </row>
    <row r="75">
      <c r="A75" s="1" t="s">
        <v>37</v>
      </c>
      <c r="B75" s="1">
        <v>0.0</v>
      </c>
      <c r="D75" s="1">
        <v>141.382775</v>
      </c>
      <c r="E75" s="1">
        <v>74.0</v>
      </c>
      <c r="F75" s="1"/>
    </row>
    <row r="76">
      <c r="A76" s="1" t="s">
        <v>193</v>
      </c>
      <c r="B76" s="1">
        <v>1.0</v>
      </c>
      <c r="D76" s="1">
        <v>141.406118</v>
      </c>
      <c r="E76" s="1">
        <v>75.0</v>
      </c>
      <c r="F76" s="1"/>
    </row>
    <row r="77">
      <c r="A77" s="1" t="s">
        <v>37</v>
      </c>
      <c r="B77" s="1">
        <v>0.0</v>
      </c>
      <c r="D77" s="1">
        <v>143.928702</v>
      </c>
      <c r="E77" s="1">
        <v>76.0</v>
      </c>
      <c r="F77" s="1"/>
    </row>
    <row r="78">
      <c r="A78" s="1" t="s">
        <v>37</v>
      </c>
      <c r="B78" s="1">
        <v>0.0</v>
      </c>
      <c r="D78" s="1">
        <v>144.621675</v>
      </c>
      <c r="E78" s="1">
        <v>77.0</v>
      </c>
      <c r="F78" s="1"/>
    </row>
    <row r="79">
      <c r="A79" s="1" t="s">
        <v>194</v>
      </c>
      <c r="B79" s="1">
        <v>1.0</v>
      </c>
      <c r="D79" s="1">
        <v>144.863184</v>
      </c>
      <c r="E79" s="1">
        <v>78.0</v>
      </c>
      <c r="F79" s="1"/>
    </row>
    <row r="80">
      <c r="A80" s="1" t="s">
        <v>37</v>
      </c>
      <c r="B80" s="1">
        <v>0.0</v>
      </c>
      <c r="D80" s="1">
        <v>146.443248</v>
      </c>
      <c r="E80" s="1">
        <v>79.0</v>
      </c>
      <c r="F80" s="1"/>
    </row>
    <row r="81">
      <c r="A81" s="1" t="s">
        <v>37</v>
      </c>
      <c r="B81" s="1">
        <v>0.0</v>
      </c>
      <c r="D81" s="1">
        <v>146.792054</v>
      </c>
      <c r="E81" s="1">
        <v>80.0</v>
      </c>
      <c r="F81" s="1"/>
    </row>
    <row r="82">
      <c r="A82" s="1" t="s">
        <v>37</v>
      </c>
      <c r="B82" s="1">
        <v>0.0</v>
      </c>
      <c r="D82" s="1">
        <v>147.755593</v>
      </c>
      <c r="E82" s="1">
        <v>81.0</v>
      </c>
      <c r="F82" s="1"/>
    </row>
    <row r="83">
      <c r="A83" s="1" t="s">
        <v>195</v>
      </c>
      <c r="B83" s="1">
        <v>1.0</v>
      </c>
      <c r="D83" s="1">
        <v>151.518841</v>
      </c>
      <c r="E83" s="1">
        <v>82.0</v>
      </c>
      <c r="F83" s="1"/>
    </row>
    <row r="84">
      <c r="A84" s="1" t="s">
        <v>37</v>
      </c>
      <c r="B84" s="1">
        <v>0.0</v>
      </c>
      <c r="D84" s="1">
        <v>151.935204</v>
      </c>
      <c r="E84" s="1">
        <v>83.0</v>
      </c>
      <c r="F84" s="1"/>
    </row>
    <row r="85">
      <c r="A85" s="1" t="s">
        <v>196</v>
      </c>
      <c r="B85" s="1">
        <v>1.0</v>
      </c>
      <c r="D85" s="1">
        <v>157.075783</v>
      </c>
      <c r="E85" s="1">
        <v>84.0</v>
      </c>
      <c r="F85" s="1"/>
    </row>
    <row r="86">
      <c r="A86" s="1" t="s">
        <v>197</v>
      </c>
      <c r="B86" s="1">
        <v>1.0</v>
      </c>
      <c r="D86" s="1">
        <v>161.56853</v>
      </c>
      <c r="E86" s="1">
        <v>85.0</v>
      </c>
      <c r="F86" s="1"/>
    </row>
    <row r="87">
      <c r="A87" s="1" t="s">
        <v>37</v>
      </c>
      <c r="B87" s="1">
        <v>0.0</v>
      </c>
      <c r="D87" s="1">
        <v>161.795157</v>
      </c>
      <c r="E87" s="1">
        <v>86.0</v>
      </c>
      <c r="F87" s="1"/>
    </row>
    <row r="88">
      <c r="A88" s="1" t="s">
        <v>37</v>
      </c>
      <c r="B88" s="1">
        <v>0.0</v>
      </c>
      <c r="D88" s="1">
        <v>162.496117</v>
      </c>
      <c r="E88" s="1">
        <v>87.0</v>
      </c>
      <c r="F88" s="1"/>
    </row>
    <row r="89">
      <c r="A89" s="1" t="s">
        <v>198</v>
      </c>
      <c r="B89" s="1">
        <v>2.0</v>
      </c>
      <c r="D89" s="1">
        <v>169.346304</v>
      </c>
      <c r="E89" s="1">
        <v>88.0</v>
      </c>
      <c r="F89" s="1"/>
    </row>
    <row r="90">
      <c r="A90" s="1" t="s">
        <v>37</v>
      </c>
      <c r="B90" s="1">
        <v>0.0</v>
      </c>
      <c r="D90" s="1">
        <v>170.154202</v>
      </c>
      <c r="E90" s="1">
        <v>89.0</v>
      </c>
      <c r="F90" s="1"/>
    </row>
    <row r="91">
      <c r="A91" s="1" t="s">
        <v>199</v>
      </c>
      <c r="B91" s="1">
        <v>1.0</v>
      </c>
      <c r="D91" s="1">
        <v>177.181162</v>
      </c>
      <c r="E91" s="1">
        <v>90.0</v>
      </c>
      <c r="F91" s="1"/>
    </row>
    <row r="92">
      <c r="A92" s="1" t="s">
        <v>200</v>
      </c>
      <c r="B92" s="1">
        <v>1.0</v>
      </c>
      <c r="D92" s="1">
        <v>179.052977</v>
      </c>
      <c r="E92" s="1">
        <v>91.0</v>
      </c>
      <c r="F92" s="1"/>
    </row>
    <row r="93">
      <c r="A93" s="1" t="s">
        <v>37</v>
      </c>
      <c r="B93" s="1">
        <v>0.0</v>
      </c>
      <c r="D93" s="1">
        <v>179.101586</v>
      </c>
      <c r="E93" s="1">
        <v>92.0</v>
      </c>
      <c r="F93" s="1"/>
    </row>
    <row r="94">
      <c r="A94" s="1" t="s">
        <v>201</v>
      </c>
      <c r="B94" s="1">
        <v>1.0</v>
      </c>
      <c r="D94" s="1">
        <v>180.15267</v>
      </c>
      <c r="E94" s="1">
        <v>93.0</v>
      </c>
      <c r="F94" s="1"/>
    </row>
    <row r="95">
      <c r="A95" s="1" t="s">
        <v>202</v>
      </c>
      <c r="B95" s="1">
        <v>1.0</v>
      </c>
      <c r="D95" s="1">
        <v>182.300834</v>
      </c>
      <c r="E95" s="1">
        <v>94.0</v>
      </c>
      <c r="F95" s="1"/>
    </row>
    <row r="96">
      <c r="A96" s="1" t="s">
        <v>37</v>
      </c>
      <c r="B96" s="1">
        <v>0.0</v>
      </c>
      <c r="D96" s="1">
        <v>182.56129</v>
      </c>
      <c r="E96" s="1">
        <v>95.0</v>
      </c>
      <c r="F96" s="1"/>
    </row>
    <row r="97">
      <c r="A97" s="1" t="s">
        <v>37</v>
      </c>
      <c r="B97" s="1">
        <v>0.0</v>
      </c>
      <c r="D97" s="1">
        <v>183.478027</v>
      </c>
      <c r="E97" s="1">
        <v>96.0</v>
      </c>
      <c r="F97" s="1"/>
    </row>
    <row r="98">
      <c r="A98" s="1" t="s">
        <v>37</v>
      </c>
      <c r="B98" s="1">
        <v>0.0</v>
      </c>
      <c r="D98" s="1">
        <v>183.75556</v>
      </c>
      <c r="E98" s="1">
        <v>97.0</v>
      </c>
      <c r="F98" s="1"/>
    </row>
    <row r="99">
      <c r="A99" s="1" t="s">
        <v>37</v>
      </c>
      <c r="B99" s="1">
        <v>0.0</v>
      </c>
      <c r="D99" s="1">
        <v>187.700319</v>
      </c>
      <c r="E99" s="1">
        <v>98.0</v>
      </c>
      <c r="F99" s="1"/>
    </row>
    <row r="100">
      <c r="A100" s="1" t="s">
        <v>37</v>
      </c>
      <c r="B100" s="1">
        <v>0.0</v>
      </c>
      <c r="D100" s="1">
        <v>188.077132</v>
      </c>
      <c r="E100" s="1">
        <v>99.0</v>
      </c>
      <c r="F100" s="1"/>
    </row>
    <row r="101">
      <c r="A101" s="1" t="s">
        <v>37</v>
      </c>
      <c r="B101" s="1">
        <v>0.0</v>
      </c>
      <c r="D101" s="1">
        <v>188.712745</v>
      </c>
      <c r="E101" s="1">
        <v>100.0</v>
      </c>
      <c r="F101" s="1"/>
    </row>
    <row r="102">
      <c r="A102" s="1" t="s">
        <v>37</v>
      </c>
      <c r="B102" s="1">
        <v>0.0</v>
      </c>
      <c r="D102" s="1">
        <v>190.488446</v>
      </c>
      <c r="E102" s="1">
        <v>101.0</v>
      </c>
      <c r="F102" s="1"/>
    </row>
    <row r="103">
      <c r="A103" s="1" t="s">
        <v>37</v>
      </c>
      <c r="B103" s="1">
        <v>0.0</v>
      </c>
      <c r="D103" s="1">
        <v>190.501009</v>
      </c>
      <c r="E103" s="1">
        <v>102.0</v>
      </c>
      <c r="F103" s="1"/>
    </row>
    <row r="104">
      <c r="A104" s="1" t="s">
        <v>203</v>
      </c>
      <c r="B104" s="1">
        <v>2.0</v>
      </c>
      <c r="D104" s="1">
        <v>191.480654</v>
      </c>
      <c r="E104" s="1">
        <v>103.0</v>
      </c>
      <c r="F104" s="1"/>
    </row>
    <row r="105">
      <c r="A105" s="1" t="s">
        <v>37</v>
      </c>
      <c r="B105" s="1">
        <v>0.0</v>
      </c>
      <c r="D105" s="1">
        <v>191.991355</v>
      </c>
      <c r="E105" s="1">
        <v>104.0</v>
      </c>
      <c r="F105" s="1"/>
    </row>
    <row r="106">
      <c r="A106" s="1" t="s">
        <v>204</v>
      </c>
      <c r="B106" s="1">
        <v>2.0</v>
      </c>
      <c r="D106" s="1">
        <v>194.343698</v>
      </c>
      <c r="E106" s="1">
        <v>105.0</v>
      </c>
      <c r="F106" s="1"/>
    </row>
    <row r="107">
      <c r="A107" s="1" t="s">
        <v>37</v>
      </c>
      <c r="B107" s="1">
        <v>0.0</v>
      </c>
      <c r="D107" s="1">
        <v>196.045159</v>
      </c>
      <c r="E107" s="1">
        <v>106.0</v>
      </c>
      <c r="F107" s="1"/>
    </row>
    <row r="108">
      <c r="A108" s="1" t="s">
        <v>205</v>
      </c>
      <c r="B108" s="1">
        <v>2.0</v>
      </c>
      <c r="D108" s="1">
        <v>196.147182</v>
      </c>
      <c r="E108" s="1">
        <v>107.0</v>
      </c>
      <c r="F108" s="1"/>
    </row>
    <row r="109">
      <c r="A109" s="1" t="s">
        <v>37</v>
      </c>
      <c r="B109" s="1">
        <v>0.0</v>
      </c>
      <c r="D109" s="1">
        <v>197.758045</v>
      </c>
      <c r="E109" s="1">
        <v>108.0</v>
      </c>
      <c r="F109" s="1"/>
    </row>
    <row r="110">
      <c r="A110" s="1" t="s">
        <v>37</v>
      </c>
      <c r="B110" s="1">
        <v>0.0</v>
      </c>
      <c r="D110" s="1">
        <v>199.169565</v>
      </c>
      <c r="E110" s="1">
        <v>109.0</v>
      </c>
      <c r="F110" s="1"/>
    </row>
    <row r="111">
      <c r="A111" s="1" t="s">
        <v>206</v>
      </c>
      <c r="B111" s="1">
        <v>1.0</v>
      </c>
      <c r="D111" s="1">
        <v>205.433117</v>
      </c>
      <c r="E111" s="1">
        <v>110.0</v>
      </c>
      <c r="F111" s="1"/>
    </row>
    <row r="112">
      <c r="A112" s="1" t="s">
        <v>207</v>
      </c>
      <c r="B112" s="1">
        <v>1.0</v>
      </c>
      <c r="D112" s="1">
        <v>205.701914</v>
      </c>
      <c r="E112" s="1">
        <v>111.0</v>
      </c>
      <c r="F112" s="1"/>
    </row>
    <row r="113">
      <c r="A113" s="1" t="s">
        <v>208</v>
      </c>
      <c r="B113" s="1">
        <v>1.0</v>
      </c>
      <c r="D113" s="1">
        <v>206.963134</v>
      </c>
      <c r="E113" s="1">
        <v>112.0</v>
      </c>
      <c r="F113" s="1"/>
    </row>
    <row r="114">
      <c r="A114" s="1" t="s">
        <v>37</v>
      </c>
      <c r="B114" s="1">
        <v>0.0</v>
      </c>
      <c r="D114" s="1">
        <v>207.861267</v>
      </c>
      <c r="E114" s="1">
        <v>113.0</v>
      </c>
      <c r="F114" s="1"/>
    </row>
    <row r="115">
      <c r="A115" s="1" t="s">
        <v>37</v>
      </c>
      <c r="B115" s="1">
        <v>0.0</v>
      </c>
      <c r="D115" s="1">
        <v>210.002957</v>
      </c>
      <c r="E115" s="1">
        <v>114.0</v>
      </c>
      <c r="F115" s="1"/>
    </row>
    <row r="116">
      <c r="A116" s="1" t="s">
        <v>37</v>
      </c>
      <c r="B116" s="1">
        <v>0.0</v>
      </c>
      <c r="D116" s="1">
        <v>211.088516</v>
      </c>
      <c r="E116" s="1">
        <v>115.0</v>
      </c>
      <c r="F116" s="1"/>
    </row>
    <row r="117">
      <c r="A117" s="1" t="s">
        <v>37</v>
      </c>
      <c r="B117" s="1">
        <v>0.0</v>
      </c>
      <c r="D117" s="1">
        <v>211.688881</v>
      </c>
      <c r="E117" s="1">
        <v>116.0</v>
      </c>
      <c r="F117" s="1"/>
    </row>
    <row r="118">
      <c r="A118" s="1" t="s">
        <v>37</v>
      </c>
      <c r="B118" s="1">
        <v>0.0</v>
      </c>
      <c r="D118" s="1">
        <v>218.225525</v>
      </c>
      <c r="E118" s="1">
        <v>117.0</v>
      </c>
      <c r="F118" s="1"/>
    </row>
    <row r="119">
      <c r="A119" s="1" t="s">
        <v>37</v>
      </c>
      <c r="B119" s="1">
        <v>0.0</v>
      </c>
      <c r="D119" s="1">
        <v>218.760456</v>
      </c>
      <c r="E119" s="1">
        <v>118.0</v>
      </c>
      <c r="F119" s="1"/>
    </row>
    <row r="120">
      <c r="A120" s="1" t="s">
        <v>37</v>
      </c>
      <c r="B120" s="1">
        <v>0.0</v>
      </c>
      <c r="D120" s="1">
        <v>222.049716</v>
      </c>
      <c r="E120" s="1">
        <v>119.0</v>
      </c>
      <c r="F120" s="1"/>
    </row>
    <row r="121">
      <c r="A121" s="1" t="s">
        <v>37</v>
      </c>
      <c r="B121" s="1">
        <v>0.0</v>
      </c>
      <c r="D121" s="1">
        <v>224.154308</v>
      </c>
      <c r="E121" s="1">
        <v>120.0</v>
      </c>
      <c r="F121" s="1"/>
    </row>
    <row r="122">
      <c r="A122" s="1" t="s">
        <v>37</v>
      </c>
      <c r="B122" s="1">
        <v>0.0</v>
      </c>
      <c r="D122" s="1">
        <v>224.797951</v>
      </c>
      <c r="E122" s="1">
        <v>121.0</v>
      </c>
      <c r="F122" s="1"/>
    </row>
    <row r="123">
      <c r="A123" s="1" t="s">
        <v>37</v>
      </c>
      <c r="B123" s="1">
        <v>0.0</v>
      </c>
      <c r="D123" s="1">
        <v>226.218258</v>
      </c>
      <c r="E123" s="1">
        <v>122.0</v>
      </c>
      <c r="F123" s="1"/>
    </row>
    <row r="124">
      <c r="A124" s="1" t="s">
        <v>209</v>
      </c>
      <c r="B124" s="1">
        <v>2.0</v>
      </c>
      <c r="D124" s="1">
        <v>227.982976</v>
      </c>
      <c r="E124" s="1">
        <v>123.0</v>
      </c>
      <c r="F124" s="1"/>
    </row>
    <row r="125">
      <c r="A125" s="1" t="s">
        <v>37</v>
      </c>
      <c r="B125" s="1">
        <v>0.0</v>
      </c>
      <c r="D125" s="1">
        <v>230.771974</v>
      </c>
      <c r="E125" s="1">
        <v>124.0</v>
      </c>
      <c r="F125" s="1"/>
    </row>
    <row r="126">
      <c r="A126" s="1" t="s">
        <v>210</v>
      </c>
      <c r="B126" s="1">
        <v>3.0</v>
      </c>
      <c r="D126" s="1">
        <v>234.012818</v>
      </c>
      <c r="E126" s="1">
        <v>125.0</v>
      </c>
      <c r="F126" s="1"/>
    </row>
    <row r="127">
      <c r="A127" s="1" t="s">
        <v>37</v>
      </c>
      <c r="B127" s="1">
        <v>0.0</v>
      </c>
      <c r="D127" s="1">
        <v>237.948311</v>
      </c>
      <c r="E127" s="1">
        <v>126.0</v>
      </c>
      <c r="F127" s="1"/>
    </row>
    <row r="128">
      <c r="A128" s="1" t="s">
        <v>211</v>
      </c>
      <c r="B128" s="1">
        <v>3.0</v>
      </c>
      <c r="D128" s="1">
        <v>239.976898</v>
      </c>
      <c r="E128" s="1">
        <v>127.0</v>
      </c>
      <c r="F128" s="1"/>
    </row>
    <row r="129">
      <c r="A129" s="1" t="s">
        <v>37</v>
      </c>
      <c r="B129" s="1">
        <v>0.0</v>
      </c>
      <c r="D129" s="1">
        <v>240.816219</v>
      </c>
      <c r="E129" s="1">
        <v>128.0</v>
      </c>
      <c r="F129" s="1"/>
    </row>
    <row r="130">
      <c r="A130" s="1" t="s">
        <v>37</v>
      </c>
      <c r="B130" s="1">
        <v>0.0</v>
      </c>
      <c r="D130" s="1">
        <v>242.001971</v>
      </c>
      <c r="E130" s="1">
        <v>129.0</v>
      </c>
      <c r="F130" s="1"/>
    </row>
    <row r="131">
      <c r="A131" s="1" t="s">
        <v>212</v>
      </c>
      <c r="B131" s="1">
        <v>1.0</v>
      </c>
      <c r="D131" s="1">
        <v>244.210521</v>
      </c>
      <c r="E131" s="1">
        <v>130.0</v>
      </c>
      <c r="F131" s="1"/>
    </row>
    <row r="132">
      <c r="A132" s="1" t="s">
        <v>37</v>
      </c>
      <c r="B132" s="1">
        <v>0.0</v>
      </c>
      <c r="D132" s="1">
        <v>244.45618</v>
      </c>
      <c r="E132" s="1">
        <v>131.0</v>
      </c>
      <c r="F132" s="1"/>
    </row>
    <row r="133">
      <c r="A133" s="1" t="s">
        <v>37</v>
      </c>
      <c r="B133" s="1">
        <v>0.0</v>
      </c>
      <c r="D133" s="1">
        <v>244.524043</v>
      </c>
      <c r="E133" s="1">
        <v>132.0</v>
      </c>
      <c r="F133" s="1"/>
    </row>
    <row r="134">
      <c r="A134" s="1" t="s">
        <v>37</v>
      </c>
      <c r="B134" s="1">
        <v>0.0</v>
      </c>
      <c r="D134" s="1">
        <v>246.303102</v>
      </c>
      <c r="E134" s="1">
        <v>133.0</v>
      </c>
      <c r="F134" s="1"/>
    </row>
    <row r="135">
      <c r="A135" s="1" t="s">
        <v>213</v>
      </c>
      <c r="B135" s="1">
        <v>1.0</v>
      </c>
      <c r="D135" s="1">
        <v>247.52785</v>
      </c>
      <c r="E135" s="1">
        <v>134.0</v>
      </c>
      <c r="F135" s="1"/>
    </row>
    <row r="136">
      <c r="A136" s="1" t="s">
        <v>214</v>
      </c>
      <c r="B136" s="1">
        <v>1.0</v>
      </c>
      <c r="D136" s="1">
        <v>250.815967</v>
      </c>
      <c r="E136" s="1">
        <v>135.0</v>
      </c>
      <c r="F136" s="1"/>
    </row>
    <row r="137">
      <c r="A137" s="1" t="s">
        <v>37</v>
      </c>
      <c r="B137" s="1">
        <v>0.0</v>
      </c>
      <c r="D137" s="1">
        <v>251.389787</v>
      </c>
      <c r="E137" s="1">
        <v>136.0</v>
      </c>
      <c r="F137" s="1"/>
    </row>
    <row r="138">
      <c r="A138" s="1" t="s">
        <v>37</v>
      </c>
      <c r="B138" s="1">
        <v>0.0</v>
      </c>
      <c r="D138" s="1">
        <v>252.336062</v>
      </c>
      <c r="E138" s="1">
        <v>137.0</v>
      </c>
      <c r="F138" s="1"/>
    </row>
    <row r="139">
      <c r="A139" s="1" t="s">
        <v>215</v>
      </c>
      <c r="B139" s="1">
        <v>2.0</v>
      </c>
      <c r="D139" s="1">
        <v>254.336831</v>
      </c>
      <c r="E139" s="1">
        <v>138.0</v>
      </c>
      <c r="F139" s="1"/>
    </row>
    <row r="140">
      <c r="A140" s="1" t="s">
        <v>216</v>
      </c>
      <c r="B140" s="1">
        <v>2.0</v>
      </c>
      <c r="D140" s="1">
        <v>255.636883</v>
      </c>
      <c r="E140" s="1">
        <v>139.0</v>
      </c>
      <c r="F140" s="1"/>
    </row>
    <row r="141">
      <c r="A141" s="1" t="s">
        <v>37</v>
      </c>
      <c r="B141" s="1">
        <v>0.0</v>
      </c>
      <c r="D141" s="1">
        <v>259.728903</v>
      </c>
      <c r="E141" s="1">
        <v>140.0</v>
      </c>
      <c r="F141" s="1"/>
    </row>
    <row r="142">
      <c r="A142" s="1" t="s">
        <v>217</v>
      </c>
      <c r="B142" s="1">
        <v>2.0</v>
      </c>
      <c r="D142" s="1">
        <v>260.460223</v>
      </c>
      <c r="E142" s="1">
        <v>141.0</v>
      </c>
      <c r="F142" s="1"/>
    </row>
    <row r="143">
      <c r="A143" s="1" t="s">
        <v>37</v>
      </c>
      <c r="B143" s="1">
        <v>0.0</v>
      </c>
      <c r="D143" s="1">
        <v>261.593199</v>
      </c>
      <c r="E143" s="1">
        <v>142.0</v>
      </c>
      <c r="F143" s="1"/>
    </row>
    <row r="144">
      <c r="A144" s="1" t="s">
        <v>218</v>
      </c>
      <c r="B144" s="1">
        <v>1.0</v>
      </c>
      <c r="D144" s="1">
        <v>261.844713</v>
      </c>
      <c r="E144" s="1">
        <v>143.0</v>
      </c>
      <c r="F144" s="1"/>
    </row>
    <row r="145">
      <c r="A145" s="1" t="s">
        <v>219</v>
      </c>
      <c r="B145" s="1">
        <v>2.0</v>
      </c>
      <c r="D145" s="1">
        <v>262.676668</v>
      </c>
      <c r="E145" s="1">
        <v>144.0</v>
      </c>
      <c r="F145" s="1"/>
    </row>
    <row r="146">
      <c r="A146" s="1" t="s">
        <v>37</v>
      </c>
      <c r="B146" s="1">
        <v>0.0</v>
      </c>
      <c r="D146" s="1">
        <v>263.58439</v>
      </c>
      <c r="E146" s="1">
        <v>145.0</v>
      </c>
      <c r="F146" s="1"/>
    </row>
    <row r="147">
      <c r="A147" s="1" t="s">
        <v>220</v>
      </c>
      <c r="B147" s="1">
        <v>2.0</v>
      </c>
      <c r="D147" s="1">
        <v>263.907379</v>
      </c>
      <c r="E147" s="1">
        <v>146.0</v>
      </c>
      <c r="F147" s="1"/>
    </row>
    <row r="148">
      <c r="A148" s="1" t="s">
        <v>221</v>
      </c>
      <c r="B148" s="1">
        <v>1.0</v>
      </c>
      <c r="D148" s="1">
        <v>264.695304</v>
      </c>
      <c r="E148" s="1">
        <v>147.0</v>
      </c>
      <c r="F148" s="1"/>
    </row>
    <row r="149">
      <c r="A149" s="1" t="s">
        <v>37</v>
      </c>
      <c r="B149" s="1">
        <v>0.0</v>
      </c>
      <c r="D149" s="1">
        <v>264.816507</v>
      </c>
      <c r="E149" s="1">
        <v>148.0</v>
      </c>
      <c r="F149" s="1"/>
    </row>
    <row r="150">
      <c r="A150" s="1" t="s">
        <v>37</v>
      </c>
      <c r="B150" s="1">
        <v>0.0</v>
      </c>
      <c r="D150" s="1">
        <v>266.568771</v>
      </c>
      <c r="E150" s="1">
        <v>149.0</v>
      </c>
      <c r="F150" s="1"/>
    </row>
    <row r="151">
      <c r="A151" s="1" t="s">
        <v>37</v>
      </c>
      <c r="B151" s="1">
        <v>0.0</v>
      </c>
      <c r="D151" s="1">
        <v>268.558556</v>
      </c>
      <c r="E151" s="1">
        <v>150.0</v>
      </c>
      <c r="F151" s="1"/>
    </row>
    <row r="152">
      <c r="A152" s="1" t="s">
        <v>222</v>
      </c>
      <c r="B152" s="1">
        <v>2.0</v>
      </c>
      <c r="D152" s="1">
        <v>269.89791</v>
      </c>
      <c r="E152" s="1">
        <v>151.0</v>
      </c>
      <c r="F152" s="1"/>
    </row>
    <row r="153">
      <c r="A153" s="1" t="s">
        <v>37</v>
      </c>
      <c r="B153" s="1">
        <v>0.0</v>
      </c>
      <c r="D153" s="1">
        <v>271.857297</v>
      </c>
      <c r="E153" s="1">
        <v>152.0</v>
      </c>
      <c r="F153" s="1"/>
    </row>
    <row r="154">
      <c r="A154" s="1" t="s">
        <v>37</v>
      </c>
      <c r="B154" s="1">
        <v>0.0</v>
      </c>
      <c r="D154" s="1">
        <v>276.262915</v>
      </c>
      <c r="E154" s="1">
        <v>153.0</v>
      </c>
      <c r="F154" s="1"/>
    </row>
    <row r="155">
      <c r="A155" s="1" t="s">
        <v>37</v>
      </c>
      <c r="B155" s="1">
        <v>0.0</v>
      </c>
      <c r="D155" s="1">
        <v>279.709516</v>
      </c>
      <c r="E155" s="1">
        <v>154.0</v>
      </c>
      <c r="F155" s="1"/>
    </row>
    <row r="156">
      <c r="A156" s="1" t="s">
        <v>37</v>
      </c>
      <c r="B156" s="1">
        <v>0.0</v>
      </c>
      <c r="D156" s="1">
        <v>280.179597</v>
      </c>
      <c r="E156" s="1">
        <v>155.0</v>
      </c>
      <c r="F156" s="1"/>
    </row>
    <row r="157">
      <c r="A157" s="1" t="s">
        <v>37</v>
      </c>
      <c r="B157" s="1">
        <v>0.0</v>
      </c>
      <c r="D157" s="1">
        <v>280.270344</v>
      </c>
      <c r="E157" s="1">
        <v>156.0</v>
      </c>
      <c r="F157" s="1"/>
    </row>
    <row r="158">
      <c r="A158" s="1" t="s">
        <v>223</v>
      </c>
      <c r="B158" s="1">
        <v>1.0</v>
      </c>
      <c r="D158" s="1">
        <v>281.397197</v>
      </c>
      <c r="E158" s="1">
        <v>157.0</v>
      </c>
      <c r="F158" s="1"/>
    </row>
    <row r="159">
      <c r="A159" s="1" t="s">
        <v>37</v>
      </c>
      <c r="B159" s="1">
        <v>0.0</v>
      </c>
      <c r="D159" s="1">
        <v>282.854044</v>
      </c>
      <c r="E159" s="1">
        <v>158.0</v>
      </c>
      <c r="F159" s="1"/>
    </row>
    <row r="160">
      <c r="A160" s="1" t="s">
        <v>37</v>
      </c>
      <c r="B160" s="1">
        <v>0.0</v>
      </c>
      <c r="D160" s="1">
        <v>288.651879</v>
      </c>
      <c r="E160" s="1">
        <v>159.0</v>
      </c>
      <c r="F160" s="1"/>
    </row>
    <row r="161">
      <c r="A161" s="1" t="s">
        <v>37</v>
      </c>
      <c r="B161" s="1">
        <v>0.0</v>
      </c>
      <c r="D161" s="1">
        <v>290.717593</v>
      </c>
      <c r="E161" s="1">
        <v>160.0</v>
      </c>
      <c r="F161" s="1"/>
    </row>
    <row r="162">
      <c r="A162" s="1" t="s">
        <v>224</v>
      </c>
      <c r="B162" s="1">
        <v>2.0</v>
      </c>
      <c r="D162" s="1">
        <v>291.211248</v>
      </c>
      <c r="E162" s="1">
        <v>161.0</v>
      </c>
      <c r="F162" s="1"/>
    </row>
    <row r="163">
      <c r="A163" s="1" t="s">
        <v>225</v>
      </c>
      <c r="B163" s="1">
        <v>1.0</v>
      </c>
      <c r="D163" s="1">
        <v>292.857028</v>
      </c>
      <c r="E163" s="1">
        <v>162.0</v>
      </c>
      <c r="F163" s="1"/>
    </row>
    <row r="164">
      <c r="A164" s="1" t="s">
        <v>37</v>
      </c>
      <c r="B164" s="1">
        <v>0.0</v>
      </c>
      <c r="D164" s="1">
        <v>293.462747</v>
      </c>
      <c r="E164" s="1">
        <v>163.0</v>
      </c>
      <c r="F164" s="1"/>
    </row>
    <row r="165">
      <c r="A165" s="1" t="s">
        <v>37</v>
      </c>
      <c r="B165" s="1">
        <v>0.0</v>
      </c>
      <c r="D165" s="1">
        <v>293.509771</v>
      </c>
      <c r="E165" s="1">
        <v>164.0</v>
      </c>
      <c r="F165" s="1"/>
    </row>
    <row r="166">
      <c r="A166" s="1" t="s">
        <v>37</v>
      </c>
      <c r="B166" s="1">
        <v>0.0</v>
      </c>
      <c r="D166" s="1">
        <v>293.64371</v>
      </c>
      <c r="E166" s="1">
        <v>165.0</v>
      </c>
      <c r="F166" s="1"/>
    </row>
    <row r="167">
      <c r="A167" s="1" t="s">
        <v>37</v>
      </c>
      <c r="B167" s="1">
        <v>0.0</v>
      </c>
      <c r="D167" s="1">
        <v>293.804147</v>
      </c>
      <c r="E167" s="1">
        <v>166.0</v>
      </c>
      <c r="F167" s="1"/>
    </row>
    <row r="168">
      <c r="A168" s="1" t="s">
        <v>37</v>
      </c>
      <c r="B168" s="1">
        <v>0.0</v>
      </c>
      <c r="D168" s="1"/>
      <c r="E168" s="1"/>
      <c r="F168" s="1"/>
    </row>
    <row r="169">
      <c r="A169" s="1" t="s">
        <v>37</v>
      </c>
      <c r="B169" s="1">
        <v>0.0</v>
      </c>
      <c r="D169" s="1"/>
      <c r="E169" s="1"/>
      <c r="F169" s="1"/>
    </row>
    <row r="170">
      <c r="A170" s="1" t="s">
        <v>226</v>
      </c>
      <c r="B170" s="1">
        <v>1.0</v>
      </c>
      <c r="D170" s="1"/>
      <c r="E170" s="1"/>
      <c r="F170" s="1"/>
    </row>
    <row r="171">
      <c r="A171" s="1" t="s">
        <v>227</v>
      </c>
      <c r="B171" s="1">
        <v>1.0</v>
      </c>
      <c r="D171" s="1"/>
      <c r="E171" s="1"/>
      <c r="F171" s="1"/>
    </row>
    <row r="172">
      <c r="A172" s="1" t="s">
        <v>37</v>
      </c>
      <c r="B172" s="1">
        <v>0.0</v>
      </c>
      <c r="D172" s="1"/>
      <c r="E172" s="1"/>
      <c r="F172" s="1"/>
    </row>
    <row r="173">
      <c r="A173" s="1" t="s">
        <v>37</v>
      </c>
      <c r="B173" s="1">
        <v>0.0</v>
      </c>
      <c r="D173" s="1"/>
      <c r="E173" s="1"/>
      <c r="F173" s="1"/>
    </row>
    <row r="174">
      <c r="A174" s="1" t="s">
        <v>37</v>
      </c>
      <c r="B174" s="1">
        <v>0.0</v>
      </c>
      <c r="D174" s="1"/>
      <c r="E174" s="1"/>
      <c r="F174" s="1"/>
    </row>
    <row r="175">
      <c r="A175" s="1" t="s">
        <v>37</v>
      </c>
      <c r="B175" s="1">
        <v>0.0</v>
      </c>
      <c r="D175" s="1"/>
      <c r="E175" s="1"/>
      <c r="F175" s="1"/>
    </row>
    <row r="176">
      <c r="A176" s="1" t="s">
        <v>37</v>
      </c>
      <c r="B176" s="1">
        <v>0.0</v>
      </c>
      <c r="D176" s="1"/>
      <c r="E176" s="1"/>
      <c r="F176" s="1"/>
    </row>
    <row r="177">
      <c r="A177" s="1" t="s">
        <v>37</v>
      </c>
      <c r="B177" s="1">
        <v>0.0</v>
      </c>
      <c r="D177" s="1"/>
      <c r="E177" s="1"/>
      <c r="F177" s="1"/>
    </row>
    <row r="178">
      <c r="A178" s="1" t="s">
        <v>228</v>
      </c>
      <c r="B178" s="1">
        <v>1.0</v>
      </c>
      <c r="D178" s="1"/>
      <c r="E178" s="1"/>
      <c r="F178" s="1"/>
    </row>
    <row r="179">
      <c r="A179" s="1" t="s">
        <v>37</v>
      </c>
      <c r="B179" s="1">
        <v>0.0</v>
      </c>
      <c r="D179" s="1"/>
      <c r="E179" s="1"/>
      <c r="F179" s="1"/>
    </row>
    <row r="180">
      <c r="A180" s="1" t="s">
        <v>229</v>
      </c>
      <c r="B180" s="1">
        <v>2.0</v>
      </c>
      <c r="D180" s="1"/>
      <c r="E180" s="1"/>
      <c r="F180" s="1"/>
    </row>
    <row r="181">
      <c r="A181" s="1" t="s">
        <v>230</v>
      </c>
      <c r="B181" s="1">
        <v>1.0</v>
      </c>
      <c r="D181" s="1"/>
      <c r="E181" s="1"/>
      <c r="F181" s="1"/>
    </row>
    <row r="182">
      <c r="A182" s="1" t="s">
        <v>37</v>
      </c>
      <c r="B182" s="1">
        <v>0.0</v>
      </c>
      <c r="D182" s="1"/>
      <c r="E182" s="1"/>
      <c r="F182" s="1"/>
    </row>
    <row r="183">
      <c r="A183" s="1" t="s">
        <v>231</v>
      </c>
      <c r="B183" s="1">
        <v>2.0</v>
      </c>
      <c r="D183" s="1"/>
      <c r="E183" s="1"/>
      <c r="F183" s="1"/>
    </row>
    <row r="184">
      <c r="A184" s="1" t="s">
        <v>232</v>
      </c>
      <c r="B184" s="1">
        <v>2.0</v>
      </c>
      <c r="D184" s="1"/>
      <c r="E184" s="1"/>
      <c r="F184" s="1"/>
    </row>
    <row r="185">
      <c r="A185" s="1" t="s">
        <v>37</v>
      </c>
      <c r="B185" s="1">
        <v>0.0</v>
      </c>
      <c r="D185" s="1"/>
      <c r="E185" s="1"/>
      <c r="F185" s="1"/>
    </row>
    <row r="186">
      <c r="A186" s="1" t="s">
        <v>37</v>
      </c>
      <c r="B186" s="1">
        <v>0.0</v>
      </c>
      <c r="D186" s="1"/>
      <c r="E186" s="1"/>
      <c r="F186" s="1"/>
    </row>
    <row r="187">
      <c r="A187" s="1" t="s">
        <v>37</v>
      </c>
      <c r="B187" s="1">
        <v>0.0</v>
      </c>
      <c r="D187" s="1"/>
      <c r="E187" s="1"/>
      <c r="F187" s="1"/>
    </row>
    <row r="188">
      <c r="A188" s="1" t="s">
        <v>233</v>
      </c>
      <c r="B188" s="1">
        <v>1.0</v>
      </c>
      <c r="D188" s="1"/>
      <c r="E188" s="1"/>
      <c r="F188" s="1"/>
    </row>
    <row r="189">
      <c r="A189" s="1" t="s">
        <v>234</v>
      </c>
      <c r="B189" s="1">
        <v>2.0</v>
      </c>
      <c r="D189" s="1"/>
      <c r="E189" s="1"/>
      <c r="F189" s="1"/>
    </row>
    <row r="190">
      <c r="A190" s="1" t="s">
        <v>37</v>
      </c>
      <c r="B190" s="1">
        <v>0.0</v>
      </c>
      <c r="D190" s="1"/>
      <c r="E190" s="1"/>
      <c r="F190" s="1"/>
    </row>
    <row r="191">
      <c r="A191" s="1" t="s">
        <v>235</v>
      </c>
      <c r="B191" s="1">
        <v>2.0</v>
      </c>
      <c r="D191" s="1"/>
      <c r="E191" s="1"/>
      <c r="F191" s="1"/>
    </row>
    <row r="192">
      <c r="A192" s="1" t="s">
        <v>236</v>
      </c>
      <c r="B192" s="1">
        <v>2.0</v>
      </c>
      <c r="D192" s="1"/>
      <c r="E192" s="1"/>
      <c r="F192" s="1"/>
    </row>
    <row r="193">
      <c r="A193" s="1" t="s">
        <v>37</v>
      </c>
      <c r="B193" s="1">
        <v>0.0</v>
      </c>
      <c r="D193" s="1"/>
      <c r="E193" s="1"/>
      <c r="F193" s="1"/>
    </row>
    <row r="194">
      <c r="A194" s="1" t="s">
        <v>37</v>
      </c>
      <c r="B194" s="1">
        <v>0.0</v>
      </c>
      <c r="D194" s="1"/>
      <c r="E194" s="1"/>
      <c r="F194" s="1"/>
    </row>
    <row r="195">
      <c r="A195" s="1" t="s">
        <v>237</v>
      </c>
      <c r="B195" s="1">
        <v>1.0</v>
      </c>
      <c r="D195" s="1"/>
      <c r="E195" s="1"/>
      <c r="F195" s="1"/>
    </row>
    <row r="196">
      <c r="A196" s="1" t="s">
        <v>37</v>
      </c>
      <c r="B196" s="1">
        <v>0.0</v>
      </c>
      <c r="D196" s="1"/>
      <c r="E196" s="1"/>
      <c r="F196" s="1"/>
    </row>
    <row r="197">
      <c r="A197" s="1" t="s">
        <v>238</v>
      </c>
      <c r="B197" s="1">
        <v>2.0</v>
      </c>
      <c r="D197" s="1"/>
      <c r="E197" s="1"/>
      <c r="F197" s="1"/>
    </row>
    <row r="198">
      <c r="A198" s="1" t="s">
        <v>239</v>
      </c>
      <c r="B198" s="1">
        <v>1.0</v>
      </c>
      <c r="D198" s="1"/>
      <c r="E198" s="1"/>
      <c r="F198" s="1"/>
    </row>
    <row r="199">
      <c r="A199" s="1" t="s">
        <v>37</v>
      </c>
      <c r="B199" s="1">
        <v>0.0</v>
      </c>
      <c r="D199" s="1"/>
      <c r="E199" s="1"/>
      <c r="F199" s="1"/>
    </row>
    <row r="200">
      <c r="A200" s="1" t="s">
        <v>240</v>
      </c>
      <c r="B200" s="1">
        <v>1.0</v>
      </c>
      <c r="D200" s="1"/>
      <c r="E200" s="1"/>
      <c r="F200" s="1"/>
    </row>
    <row r="201">
      <c r="A201" s="1" t="s">
        <v>37</v>
      </c>
      <c r="B201" s="1">
        <v>0.0</v>
      </c>
      <c r="D201" s="1"/>
      <c r="E201" s="1"/>
      <c r="F201" s="1"/>
    </row>
    <row r="202">
      <c r="A202" s="1" t="s">
        <v>37</v>
      </c>
      <c r="B202" s="1">
        <v>0.0</v>
      </c>
      <c r="D202" s="1"/>
      <c r="E202" s="1"/>
      <c r="F202" s="1"/>
    </row>
    <row r="203">
      <c r="A203" s="1" t="s">
        <v>37</v>
      </c>
      <c r="B203" s="1">
        <v>0.0</v>
      </c>
      <c r="D203" s="1"/>
      <c r="E203" s="1"/>
      <c r="F203" s="1"/>
    </row>
    <row r="204">
      <c r="A204" s="1" t="s">
        <v>37</v>
      </c>
      <c r="B204" s="1">
        <v>0.0</v>
      </c>
      <c r="D204" s="1"/>
      <c r="E204" s="1"/>
      <c r="F204" s="1"/>
    </row>
    <row r="205">
      <c r="A205" s="1" t="s">
        <v>37</v>
      </c>
      <c r="B205" s="1">
        <v>0.0</v>
      </c>
    </row>
    <row r="206">
      <c r="A206" s="1" t="s">
        <v>241</v>
      </c>
      <c r="B206" s="1">
        <v>2.0</v>
      </c>
    </row>
    <row r="207">
      <c r="A207" s="1" t="s">
        <v>242</v>
      </c>
      <c r="B207" s="1">
        <v>1.0</v>
      </c>
    </row>
    <row r="208">
      <c r="A208" s="1" t="s">
        <v>243</v>
      </c>
      <c r="B208" s="1">
        <v>1.0</v>
      </c>
    </row>
    <row r="209">
      <c r="A209" s="1" t="s">
        <v>37</v>
      </c>
      <c r="B209" s="1">
        <v>0.0</v>
      </c>
    </row>
    <row r="210">
      <c r="A210" s="1" t="s">
        <v>37</v>
      </c>
      <c r="B210" s="1">
        <v>0.0</v>
      </c>
    </row>
    <row r="211">
      <c r="A211" s="1" t="s">
        <v>244</v>
      </c>
      <c r="B211" s="1">
        <v>1.0</v>
      </c>
    </row>
    <row r="212">
      <c r="A212" s="1" t="s">
        <v>245</v>
      </c>
      <c r="B212" s="1">
        <v>2.0</v>
      </c>
    </row>
    <row r="213">
      <c r="A213" s="1" t="s">
        <v>37</v>
      </c>
      <c r="B213" s="1">
        <v>0.0</v>
      </c>
    </row>
    <row r="214">
      <c r="A214" s="1" t="s">
        <v>37</v>
      </c>
      <c r="B214" s="1">
        <v>0.0</v>
      </c>
    </row>
    <row r="215">
      <c r="A215" s="1" t="s">
        <v>37</v>
      </c>
      <c r="B215" s="1">
        <v>0.0</v>
      </c>
    </row>
    <row r="216">
      <c r="A216" s="1" t="s">
        <v>37</v>
      </c>
      <c r="B216" s="1">
        <v>0.0</v>
      </c>
    </row>
    <row r="217">
      <c r="A217" s="1" t="s">
        <v>37</v>
      </c>
      <c r="B217" s="1">
        <v>0.0</v>
      </c>
    </row>
    <row r="218">
      <c r="A218" s="1" t="s">
        <v>37</v>
      </c>
      <c r="B218" s="1">
        <v>0.0</v>
      </c>
    </row>
    <row r="219">
      <c r="A219" s="1" t="s">
        <v>246</v>
      </c>
      <c r="B219" s="1">
        <v>2.0</v>
      </c>
    </row>
    <row r="220">
      <c r="A220" s="1" t="s">
        <v>37</v>
      </c>
      <c r="B220" s="1">
        <v>0.0</v>
      </c>
    </row>
    <row r="221">
      <c r="A221" s="1" t="s">
        <v>37</v>
      </c>
      <c r="B221" s="1">
        <v>0.0</v>
      </c>
    </row>
    <row r="222">
      <c r="A222" s="1" t="s">
        <v>37</v>
      </c>
      <c r="B222" s="1">
        <v>0.0</v>
      </c>
    </row>
    <row r="223">
      <c r="A223" s="1" t="s">
        <v>247</v>
      </c>
      <c r="B223" s="1">
        <v>1.0</v>
      </c>
    </row>
    <row r="224">
      <c r="A224" s="1" t="s">
        <v>37</v>
      </c>
      <c r="B224" s="1">
        <v>0.0</v>
      </c>
    </row>
    <row r="225">
      <c r="A225" s="1" t="s">
        <v>248</v>
      </c>
      <c r="B225" s="1">
        <v>2.0</v>
      </c>
    </row>
    <row r="226">
      <c r="A226" s="1" t="s">
        <v>37</v>
      </c>
      <c r="B226" s="1">
        <v>0.0</v>
      </c>
    </row>
    <row r="227">
      <c r="A227" s="1" t="s">
        <v>249</v>
      </c>
      <c r="B227" s="1">
        <v>1.0</v>
      </c>
    </row>
    <row r="228">
      <c r="A228" s="1" t="s">
        <v>250</v>
      </c>
      <c r="B228" s="1">
        <v>1.0</v>
      </c>
    </row>
    <row r="229">
      <c r="A229" s="1" t="s">
        <v>37</v>
      </c>
      <c r="B229" s="1">
        <v>0.0</v>
      </c>
    </row>
    <row r="230">
      <c r="A230" s="1" t="s">
        <v>37</v>
      </c>
      <c r="B230" s="1">
        <v>0.0</v>
      </c>
    </row>
    <row r="231">
      <c r="A231" s="1" t="s">
        <v>251</v>
      </c>
      <c r="B231" s="1">
        <v>1.0</v>
      </c>
    </row>
    <row r="232">
      <c r="A232" s="1" t="s">
        <v>37</v>
      </c>
      <c r="B232" s="1">
        <v>0.0</v>
      </c>
    </row>
    <row r="233">
      <c r="A233" s="1" t="s">
        <v>37</v>
      </c>
      <c r="B233" s="1">
        <v>0.0</v>
      </c>
    </row>
    <row r="234">
      <c r="A234" s="1" t="s">
        <v>37</v>
      </c>
      <c r="B234" s="1">
        <v>0.0</v>
      </c>
    </row>
    <row r="235">
      <c r="A235" s="1" t="s">
        <v>252</v>
      </c>
      <c r="B235" s="1">
        <v>1.0</v>
      </c>
    </row>
    <row r="236">
      <c r="A236" s="1" t="s">
        <v>37</v>
      </c>
      <c r="B236" s="1">
        <v>0.0</v>
      </c>
    </row>
    <row r="237">
      <c r="A237" s="1" t="s">
        <v>37</v>
      </c>
      <c r="B237" s="1">
        <v>0.0</v>
      </c>
    </row>
    <row r="238">
      <c r="A238" s="1" t="s">
        <v>253</v>
      </c>
      <c r="B238" s="1">
        <v>1.0</v>
      </c>
    </row>
    <row r="239">
      <c r="A239" s="1" t="s">
        <v>37</v>
      </c>
      <c r="B239" s="1">
        <v>0.0</v>
      </c>
    </row>
    <row r="240">
      <c r="A240" s="1" t="s">
        <v>254</v>
      </c>
      <c r="B240" s="1">
        <v>1.0</v>
      </c>
    </row>
    <row r="241">
      <c r="A241" s="1" t="s">
        <v>255</v>
      </c>
      <c r="B241" s="1">
        <v>1.0</v>
      </c>
    </row>
    <row r="242">
      <c r="A242" s="1" t="s">
        <v>37</v>
      </c>
      <c r="B242" s="1">
        <v>0.0</v>
      </c>
    </row>
    <row r="243">
      <c r="A243" s="1" t="s">
        <v>256</v>
      </c>
      <c r="B243" s="1">
        <v>1.0</v>
      </c>
    </row>
    <row r="244">
      <c r="A244" s="1" t="s">
        <v>37</v>
      </c>
      <c r="B244" s="1">
        <v>0.0</v>
      </c>
    </row>
    <row r="245">
      <c r="A245" s="1" t="s">
        <v>257</v>
      </c>
      <c r="B245" s="1">
        <v>3.0</v>
      </c>
    </row>
    <row r="246">
      <c r="A246" s="1" t="s">
        <v>37</v>
      </c>
      <c r="B246" s="1">
        <v>0.0</v>
      </c>
    </row>
    <row r="247">
      <c r="A247" s="1" t="s">
        <v>258</v>
      </c>
      <c r="B247" s="1">
        <v>1.0</v>
      </c>
    </row>
    <row r="248">
      <c r="A248" s="1" t="s">
        <v>259</v>
      </c>
      <c r="B248" s="1">
        <v>1.0</v>
      </c>
    </row>
    <row r="249">
      <c r="A249" s="1" t="s">
        <v>37</v>
      </c>
      <c r="B249" s="1">
        <v>0.0</v>
      </c>
    </row>
    <row r="250">
      <c r="A250" s="1" t="s">
        <v>37</v>
      </c>
      <c r="B250" s="1">
        <v>0.0</v>
      </c>
    </row>
    <row r="251">
      <c r="A251" s="1" t="s">
        <v>260</v>
      </c>
      <c r="B251" s="1">
        <v>1.0</v>
      </c>
    </row>
    <row r="252">
      <c r="A252" s="1" t="s">
        <v>261</v>
      </c>
      <c r="B252" s="1">
        <v>1.0</v>
      </c>
    </row>
    <row r="253">
      <c r="A253" s="1" t="s">
        <v>262</v>
      </c>
      <c r="B253" s="1">
        <v>1.0</v>
      </c>
    </row>
    <row r="254">
      <c r="A254" s="1" t="s">
        <v>37</v>
      </c>
      <c r="B254" s="1">
        <v>0.0</v>
      </c>
    </row>
    <row r="255">
      <c r="A255" s="1" t="s">
        <v>263</v>
      </c>
      <c r="B255" s="1">
        <v>1.0</v>
      </c>
    </row>
    <row r="256">
      <c r="A256" s="1" t="s">
        <v>264</v>
      </c>
      <c r="B256" s="1">
        <v>1.0</v>
      </c>
    </row>
    <row r="257">
      <c r="A257" s="1" t="s">
        <v>37</v>
      </c>
      <c r="B257" s="1">
        <v>0.0</v>
      </c>
    </row>
    <row r="258">
      <c r="A258" s="1" t="s">
        <v>37</v>
      </c>
      <c r="B258" s="1">
        <v>0.0</v>
      </c>
    </row>
    <row r="259">
      <c r="A259" s="1" t="s">
        <v>37</v>
      </c>
      <c r="B259" s="1">
        <v>0.0</v>
      </c>
    </row>
    <row r="260">
      <c r="A260" s="1" t="s">
        <v>265</v>
      </c>
      <c r="B260" s="1">
        <v>1.0</v>
      </c>
    </row>
    <row r="261">
      <c r="A261" s="1" t="s">
        <v>266</v>
      </c>
      <c r="B261" s="1">
        <v>1.0</v>
      </c>
    </row>
    <row r="262">
      <c r="A262" s="1" t="s">
        <v>267</v>
      </c>
      <c r="B262" s="1">
        <v>2.0</v>
      </c>
    </row>
    <row r="263">
      <c r="A263" s="1" t="s">
        <v>268</v>
      </c>
      <c r="B263" s="1">
        <v>1.0</v>
      </c>
    </row>
    <row r="264">
      <c r="A264" s="1" t="s">
        <v>269</v>
      </c>
      <c r="B264" s="1">
        <v>2.0</v>
      </c>
    </row>
    <row r="265">
      <c r="A265" s="1" t="s">
        <v>270</v>
      </c>
      <c r="B265" s="1">
        <v>2.0</v>
      </c>
    </row>
    <row r="266">
      <c r="A266" s="1" t="s">
        <v>37</v>
      </c>
      <c r="B266" s="1">
        <v>0.0</v>
      </c>
    </row>
    <row r="267">
      <c r="A267" s="1" t="s">
        <v>271</v>
      </c>
      <c r="B267" s="1">
        <v>1.0</v>
      </c>
    </row>
    <row r="268">
      <c r="A268" s="1" t="s">
        <v>37</v>
      </c>
      <c r="B268" s="1">
        <v>0.0</v>
      </c>
    </row>
    <row r="269">
      <c r="A269" s="1" t="s">
        <v>272</v>
      </c>
      <c r="B269" s="1">
        <v>1.0</v>
      </c>
    </row>
    <row r="270">
      <c r="A270" s="1" t="s">
        <v>273</v>
      </c>
      <c r="B270" s="1">
        <v>1.0</v>
      </c>
    </row>
    <row r="271">
      <c r="A271" s="1" t="s">
        <v>37</v>
      </c>
      <c r="B271" s="1">
        <v>0.0</v>
      </c>
    </row>
    <row r="272">
      <c r="A272" s="1" t="s">
        <v>274</v>
      </c>
      <c r="B272" s="1">
        <v>1.0</v>
      </c>
    </row>
    <row r="273">
      <c r="A273" s="1" t="s">
        <v>37</v>
      </c>
      <c r="B273" s="1">
        <v>0.0</v>
      </c>
    </row>
    <row r="274">
      <c r="A274" s="1" t="s">
        <v>37</v>
      </c>
      <c r="B274" s="1">
        <v>0.0</v>
      </c>
    </row>
    <row r="275">
      <c r="A275" s="1" t="s">
        <v>37</v>
      </c>
      <c r="B275" s="1">
        <v>0.0</v>
      </c>
    </row>
    <row r="276">
      <c r="A276" s="1" t="s">
        <v>37</v>
      </c>
      <c r="B276" s="1">
        <v>0.0</v>
      </c>
    </row>
    <row r="277">
      <c r="A277" s="1" t="s">
        <v>275</v>
      </c>
      <c r="B277" s="1">
        <v>1.0</v>
      </c>
    </row>
    <row r="278">
      <c r="A278" s="1" t="s">
        <v>37</v>
      </c>
      <c r="B278" s="1">
        <v>0.0</v>
      </c>
    </row>
    <row r="279">
      <c r="A279" s="1" t="s">
        <v>37</v>
      </c>
      <c r="B279" s="1">
        <v>0.0</v>
      </c>
    </row>
    <row r="280">
      <c r="A280" s="1" t="s">
        <v>276</v>
      </c>
      <c r="B280" s="1">
        <v>1.0</v>
      </c>
    </row>
    <row r="281">
      <c r="A281" s="1" t="s">
        <v>277</v>
      </c>
      <c r="B281" s="1">
        <v>2.0</v>
      </c>
    </row>
    <row r="282">
      <c r="A282" s="1" t="s">
        <v>278</v>
      </c>
      <c r="B282" s="1">
        <v>1.0</v>
      </c>
    </row>
    <row r="283">
      <c r="A283" s="1" t="s">
        <v>279</v>
      </c>
      <c r="B283" s="1">
        <v>1.0</v>
      </c>
    </row>
    <row r="284">
      <c r="A284" s="1" t="s">
        <v>37</v>
      </c>
      <c r="B284" s="1">
        <v>0.0</v>
      </c>
    </row>
    <row r="285">
      <c r="A285" s="1" t="s">
        <v>37</v>
      </c>
      <c r="B285" s="1">
        <v>0.0</v>
      </c>
    </row>
    <row r="286">
      <c r="A286" s="1" t="s">
        <v>37</v>
      </c>
      <c r="B286" s="1">
        <v>0.0</v>
      </c>
    </row>
    <row r="287">
      <c r="A287" s="1" t="s">
        <v>37</v>
      </c>
      <c r="B287" s="1">
        <v>0.0</v>
      </c>
    </row>
    <row r="288">
      <c r="A288" s="1" t="s">
        <v>37</v>
      </c>
      <c r="B288" s="1">
        <v>0.0</v>
      </c>
    </row>
    <row r="289">
      <c r="A289" s="1" t="s">
        <v>280</v>
      </c>
      <c r="B289" s="1">
        <v>1.0</v>
      </c>
    </row>
    <row r="290">
      <c r="A290" s="1" t="s">
        <v>37</v>
      </c>
      <c r="B290" s="1">
        <v>0.0</v>
      </c>
    </row>
    <row r="291">
      <c r="A291" s="1" t="s">
        <v>281</v>
      </c>
      <c r="B291" s="1">
        <v>1.0</v>
      </c>
    </row>
    <row r="292">
      <c r="A292" s="1" t="s">
        <v>282</v>
      </c>
      <c r="B292" s="1">
        <v>1.0</v>
      </c>
    </row>
    <row r="293">
      <c r="A293" s="1" t="s">
        <v>283</v>
      </c>
      <c r="B293" s="1">
        <v>1.0</v>
      </c>
    </row>
    <row r="294">
      <c r="A294" s="1" t="s">
        <v>284</v>
      </c>
      <c r="B294" s="1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10" max="10" width="15.38"/>
  </cols>
  <sheetData>
    <row r="1">
      <c r="A1" s="1" t="s">
        <v>0</v>
      </c>
      <c r="C1" s="1" t="s">
        <v>1</v>
      </c>
      <c r="D1" s="1" t="s">
        <v>2</v>
      </c>
      <c r="E1" s="1" t="s">
        <v>30</v>
      </c>
      <c r="J1" s="1" t="s">
        <v>285</v>
      </c>
    </row>
    <row r="2">
      <c r="A2" s="1" t="s">
        <v>286</v>
      </c>
      <c r="B2" s="1">
        <v>0.0</v>
      </c>
      <c r="D2" s="1">
        <v>1.0</v>
      </c>
      <c r="E2" s="1">
        <v>1.0</v>
      </c>
      <c r="G2" s="1" t="s">
        <v>6</v>
      </c>
      <c r="H2" s="1" t="s">
        <v>33</v>
      </c>
      <c r="J2" s="1" t="s">
        <v>287</v>
      </c>
      <c r="K2" s="1" t="s">
        <v>288</v>
      </c>
      <c r="L2" s="1" t="s">
        <v>289</v>
      </c>
      <c r="M2" s="1" t="s">
        <v>290</v>
      </c>
    </row>
    <row r="3">
      <c r="A3" s="1" t="s">
        <v>37</v>
      </c>
      <c r="B3" s="1">
        <v>0.0</v>
      </c>
      <c r="D3" s="1">
        <v>1.003371</v>
      </c>
      <c r="E3" s="1">
        <v>2.0</v>
      </c>
      <c r="G3" s="1">
        <f>332/600</f>
        <v>0.5533333333</v>
      </c>
      <c r="H3" s="5">
        <f>G3*10</f>
        <v>5.533333333</v>
      </c>
      <c r="J3" s="5">
        <f t="shared" ref="J3:J333" si="1">D3-D2</f>
        <v>0.003371</v>
      </c>
      <c r="K3" s="1">
        <v>2.594742</v>
      </c>
      <c r="L3" s="1">
        <v>2.75829</v>
      </c>
      <c r="M3" s="1">
        <v>6.13665</v>
      </c>
    </row>
    <row r="4">
      <c r="A4" s="1" t="s">
        <v>291</v>
      </c>
      <c r="B4" s="1">
        <v>2.0</v>
      </c>
      <c r="D4" s="1">
        <v>3.594742</v>
      </c>
      <c r="E4" s="1">
        <v>3.0</v>
      </c>
      <c r="G4" s="1" t="s">
        <v>9</v>
      </c>
      <c r="J4" s="5">
        <f t="shared" si="1"/>
        <v>2.591371</v>
      </c>
      <c r="K4" s="1">
        <v>1.801371</v>
      </c>
      <c r="L4" s="1">
        <v>4.589154</v>
      </c>
      <c r="M4" s="1">
        <v>12.804668</v>
      </c>
    </row>
    <row r="5">
      <c r="A5" s="1" t="s">
        <v>37</v>
      </c>
      <c r="B5" s="1">
        <v>0.0</v>
      </c>
      <c r="D5" s="1">
        <v>3.75829</v>
      </c>
      <c r="E5" s="1">
        <v>4.0</v>
      </c>
      <c r="G5" s="5">
        <f>SQRT(332)/600</f>
        <v>0.03036811193</v>
      </c>
      <c r="H5" s="5">
        <f>(SQRT(332)*10)/600</f>
        <v>0.3036811193</v>
      </c>
      <c r="J5" s="5">
        <f t="shared" si="1"/>
        <v>0.163548</v>
      </c>
      <c r="K5" s="1">
        <v>2.951331</v>
      </c>
      <c r="L5" s="1">
        <v>8.748049</v>
      </c>
      <c r="M5" s="1">
        <v>8.548606</v>
      </c>
    </row>
    <row r="6">
      <c r="A6" s="1" t="s">
        <v>292</v>
      </c>
      <c r="B6" s="1">
        <v>1.0</v>
      </c>
      <c r="D6" s="1">
        <v>5.396113</v>
      </c>
      <c r="E6" s="1">
        <v>5.0</v>
      </c>
      <c r="J6" s="5">
        <f t="shared" si="1"/>
        <v>1.637823</v>
      </c>
      <c r="K6" s="1">
        <v>7.952576</v>
      </c>
      <c r="L6" s="1">
        <v>7.062056</v>
      </c>
      <c r="M6" s="1">
        <v>4.06666</v>
      </c>
    </row>
    <row r="7">
      <c r="A7" s="1" t="s">
        <v>37</v>
      </c>
      <c r="B7" s="1">
        <v>0.0</v>
      </c>
      <c r="D7" s="1">
        <v>7.13665</v>
      </c>
      <c r="E7" s="1">
        <v>6.0</v>
      </c>
      <c r="G7" s="1" t="s">
        <v>293</v>
      </c>
      <c r="J7" s="5">
        <f t="shared" si="1"/>
        <v>1.740537</v>
      </c>
      <c r="K7" s="1">
        <v>3.641298</v>
      </c>
      <c r="L7" s="1">
        <v>4.332375</v>
      </c>
      <c r="M7" s="1">
        <v>20.263646</v>
      </c>
    </row>
    <row r="8">
      <c r="A8" s="1" t="s">
        <v>294</v>
      </c>
      <c r="B8" s="1">
        <v>1.0</v>
      </c>
      <c r="D8" s="1">
        <v>8.347444</v>
      </c>
      <c r="E8" s="1">
        <v>7.0</v>
      </c>
      <c r="G8" s="1">
        <v>332.0</v>
      </c>
      <c r="J8" s="5">
        <f t="shared" si="1"/>
        <v>1.210794</v>
      </c>
      <c r="K8" s="1">
        <v>4.216231</v>
      </c>
      <c r="L8" s="1">
        <v>2.789957</v>
      </c>
      <c r="M8" s="1">
        <v>6.398883</v>
      </c>
    </row>
    <row r="9">
      <c r="A9" s="1" t="s">
        <v>295</v>
      </c>
      <c r="B9" s="1">
        <v>1.0</v>
      </c>
      <c r="D9" s="1">
        <v>13.457288</v>
      </c>
      <c r="E9" s="1">
        <v>8.0</v>
      </c>
      <c r="J9" s="5">
        <f t="shared" si="1"/>
        <v>5.109844</v>
      </c>
      <c r="K9" s="1">
        <v>4.042564</v>
      </c>
      <c r="L9" s="1">
        <v>4.157222</v>
      </c>
      <c r="M9" s="1">
        <v>12.559077</v>
      </c>
    </row>
    <row r="10">
      <c r="A10" s="1" t="s">
        <v>37</v>
      </c>
      <c r="B10" s="1">
        <v>0.0</v>
      </c>
      <c r="D10" s="1">
        <v>16.30002</v>
      </c>
      <c r="E10" s="1">
        <v>9.0</v>
      </c>
      <c r="J10" s="5">
        <f t="shared" si="1"/>
        <v>2.842732</v>
      </c>
      <c r="K10" s="1">
        <v>0.349604</v>
      </c>
      <c r="L10" s="1">
        <v>16.476772</v>
      </c>
      <c r="M10" s="1">
        <v>9.005117</v>
      </c>
    </row>
    <row r="11">
      <c r="A11" s="1" t="s">
        <v>37</v>
      </c>
      <c r="B11" s="1">
        <v>0.0</v>
      </c>
      <c r="D11" s="1">
        <v>17.095493</v>
      </c>
      <c r="E11" s="1">
        <v>10.0</v>
      </c>
      <c r="J11" s="5">
        <f t="shared" si="1"/>
        <v>0.795473</v>
      </c>
      <c r="K11" s="1">
        <v>2.730164</v>
      </c>
      <c r="L11" s="1">
        <v>4.38182</v>
      </c>
      <c r="M11" s="1">
        <v>5.825229</v>
      </c>
    </row>
    <row r="12">
      <c r="A12" s="1" t="s">
        <v>37</v>
      </c>
      <c r="B12" s="1">
        <v>0.0</v>
      </c>
      <c r="D12" s="1">
        <v>19.941318</v>
      </c>
      <c r="E12" s="1">
        <v>11.0</v>
      </c>
      <c r="J12" s="5">
        <f t="shared" si="1"/>
        <v>2.845825</v>
      </c>
      <c r="K12" s="1">
        <v>1.276703</v>
      </c>
      <c r="L12" s="1">
        <v>2.923418</v>
      </c>
      <c r="M12" s="1">
        <v>24.146052</v>
      </c>
    </row>
    <row r="13">
      <c r="A13" s="1" t="s">
        <v>37</v>
      </c>
      <c r="B13" s="1">
        <v>0.0</v>
      </c>
      <c r="D13" s="1">
        <v>22.772108</v>
      </c>
      <c r="E13" s="1">
        <v>12.0</v>
      </c>
      <c r="J13" s="5">
        <f t="shared" si="1"/>
        <v>2.83079</v>
      </c>
      <c r="K13" s="1">
        <v>6.38131</v>
      </c>
      <c r="L13" s="1">
        <v>9.930719</v>
      </c>
      <c r="M13" s="1">
        <v>7.570997</v>
      </c>
    </row>
    <row r="14">
      <c r="A14" s="1" t="s">
        <v>296</v>
      </c>
      <c r="B14" s="1">
        <v>1.0</v>
      </c>
      <c r="D14" s="1">
        <v>24.157549</v>
      </c>
      <c r="E14" s="1">
        <v>13.0</v>
      </c>
      <c r="J14" s="5">
        <f t="shared" si="1"/>
        <v>1.385441</v>
      </c>
      <c r="K14" s="1">
        <v>12.975981</v>
      </c>
      <c r="L14" s="1">
        <v>3.909731</v>
      </c>
      <c r="M14" s="1">
        <v>4.426195</v>
      </c>
    </row>
    <row r="15">
      <c r="A15" s="1" t="s">
        <v>37</v>
      </c>
      <c r="B15" s="1">
        <v>0.0</v>
      </c>
      <c r="D15" s="1">
        <v>26.632265</v>
      </c>
      <c r="E15" s="1">
        <v>14.0</v>
      </c>
      <c r="J15" s="5">
        <f t="shared" si="1"/>
        <v>2.474716</v>
      </c>
      <c r="K15" s="1">
        <v>2.322761</v>
      </c>
      <c r="L15" s="1">
        <v>7.301598</v>
      </c>
      <c r="M15" s="1">
        <v>7.239996</v>
      </c>
    </row>
    <row r="16">
      <c r="A16" s="1" t="s">
        <v>37</v>
      </c>
      <c r="B16" s="1">
        <v>0.0</v>
      </c>
      <c r="D16" s="1">
        <v>28.200113</v>
      </c>
      <c r="E16" s="1">
        <v>15.0</v>
      </c>
      <c r="J16" s="5">
        <f t="shared" si="1"/>
        <v>1.567848</v>
      </c>
      <c r="K16" s="1">
        <v>3.270436</v>
      </c>
      <c r="L16" s="1">
        <v>1.855995</v>
      </c>
      <c r="M16" s="1">
        <v>11.316899</v>
      </c>
    </row>
    <row r="17">
      <c r="A17" s="1" t="s">
        <v>297</v>
      </c>
      <c r="B17" s="1">
        <v>1.0</v>
      </c>
      <c r="D17" s="1">
        <v>28.489924</v>
      </c>
      <c r="E17" s="1">
        <v>16.0</v>
      </c>
      <c r="J17" s="5">
        <f t="shared" si="1"/>
        <v>0.289811</v>
      </c>
      <c r="K17" s="1">
        <v>1.712041</v>
      </c>
      <c r="L17" s="1">
        <v>4.39138</v>
      </c>
      <c r="M17" s="1">
        <v>9.734803</v>
      </c>
    </row>
    <row r="18">
      <c r="A18" s="1" t="s">
        <v>298</v>
      </c>
      <c r="B18" s="1">
        <v>1.0</v>
      </c>
      <c r="D18" s="1">
        <v>28.549717</v>
      </c>
      <c r="E18" s="1">
        <v>17.0</v>
      </c>
      <c r="J18" s="5">
        <f t="shared" si="1"/>
        <v>0.059793</v>
      </c>
      <c r="K18" s="1">
        <v>5.487955</v>
      </c>
      <c r="L18" s="1">
        <v>16.965217</v>
      </c>
      <c r="M18" s="1">
        <v>4.177207</v>
      </c>
    </row>
    <row r="19">
      <c r="A19" s="1" t="s">
        <v>37</v>
      </c>
      <c r="B19" s="1">
        <v>0.0</v>
      </c>
      <c r="D19" s="1">
        <v>29.584757</v>
      </c>
      <c r="E19" s="1">
        <v>18.0</v>
      </c>
      <c r="J19" s="5">
        <f t="shared" si="1"/>
        <v>1.03504</v>
      </c>
      <c r="K19" s="1">
        <v>5.644576</v>
      </c>
      <c r="L19" s="1">
        <v>8.786639</v>
      </c>
      <c r="M19" s="1">
        <v>4.157362</v>
      </c>
    </row>
    <row r="20">
      <c r="A20" s="1" t="s">
        <v>299</v>
      </c>
      <c r="B20" s="1">
        <v>1.0</v>
      </c>
      <c r="D20" s="1">
        <v>31.279881</v>
      </c>
      <c r="E20" s="1">
        <v>19.0</v>
      </c>
      <c r="J20" s="5">
        <f t="shared" si="1"/>
        <v>1.695124</v>
      </c>
      <c r="K20" s="1">
        <v>2.707919</v>
      </c>
      <c r="L20" s="1">
        <v>2.958483</v>
      </c>
      <c r="M20" s="1">
        <v>4.077987</v>
      </c>
    </row>
    <row r="21">
      <c r="A21" s="1" t="s">
        <v>37</v>
      </c>
      <c r="B21" s="1">
        <v>0.0</v>
      </c>
      <c r="D21" s="1">
        <v>31.342616</v>
      </c>
      <c r="E21" s="1">
        <v>20.0</v>
      </c>
      <c r="J21" s="5">
        <f t="shared" si="1"/>
        <v>0.062735</v>
      </c>
      <c r="K21" s="1">
        <v>5.136663</v>
      </c>
      <c r="L21" s="1">
        <v>3.858168</v>
      </c>
      <c r="M21" s="1">
        <v>11.562396</v>
      </c>
    </row>
    <row r="22">
      <c r="A22" s="1" t="s">
        <v>37</v>
      </c>
      <c r="B22" s="1">
        <v>0.0</v>
      </c>
      <c r="D22" s="1">
        <v>32.556584</v>
      </c>
      <c r="E22" s="1">
        <v>21.0</v>
      </c>
      <c r="J22" s="5">
        <f t="shared" si="1"/>
        <v>1.213968</v>
      </c>
      <c r="K22" s="1">
        <v>2.587081</v>
      </c>
      <c r="L22" s="1">
        <v>3.574737</v>
      </c>
      <c r="M22" s="1">
        <v>9.424548</v>
      </c>
    </row>
    <row r="23">
      <c r="A23" s="1" t="s">
        <v>300</v>
      </c>
      <c r="B23" s="1">
        <v>1.0</v>
      </c>
      <c r="D23" s="1">
        <v>35.437103</v>
      </c>
      <c r="E23" s="1">
        <v>22.0</v>
      </c>
      <c r="J23" s="5">
        <f t="shared" si="1"/>
        <v>2.880519</v>
      </c>
      <c r="K23" s="1">
        <v>1.433849</v>
      </c>
      <c r="L23" s="1">
        <v>5.973193</v>
      </c>
      <c r="M23" s="1">
        <v>7.097749</v>
      </c>
    </row>
    <row r="24">
      <c r="A24" s="1" t="s">
        <v>37</v>
      </c>
      <c r="B24" s="1">
        <v>0.0</v>
      </c>
      <c r="D24" s="1">
        <v>38.937894</v>
      </c>
      <c r="E24" s="1">
        <v>23.0</v>
      </c>
      <c r="J24" s="5">
        <f t="shared" si="1"/>
        <v>3.500791</v>
      </c>
      <c r="K24" s="1">
        <v>3.359466</v>
      </c>
      <c r="L24" s="1">
        <v>4.07927</v>
      </c>
      <c r="M24" s="1">
        <v>12.628653</v>
      </c>
    </row>
    <row r="25">
      <c r="A25" s="1" t="s">
        <v>301</v>
      </c>
      <c r="B25" s="1">
        <v>1.0</v>
      </c>
      <c r="D25" s="1">
        <v>51.854694</v>
      </c>
      <c r="E25" s="1">
        <v>24.0</v>
      </c>
      <c r="J25" s="5">
        <f t="shared" si="1"/>
        <v>12.9168</v>
      </c>
      <c r="K25" s="1">
        <v>8.416829</v>
      </c>
      <c r="L25" s="1">
        <v>4.436429</v>
      </c>
      <c r="M25" s="1">
        <v>3.813606</v>
      </c>
    </row>
    <row r="26">
      <c r="A26" s="1" t="s">
        <v>37</v>
      </c>
      <c r="B26" s="1">
        <v>0.0</v>
      </c>
      <c r="D26" s="1">
        <v>51.913875</v>
      </c>
      <c r="E26" s="1">
        <v>25.0</v>
      </c>
      <c r="J26" s="5">
        <f t="shared" si="1"/>
        <v>0.059181</v>
      </c>
      <c r="K26" s="1">
        <v>9.580302</v>
      </c>
      <c r="L26" s="1">
        <v>10.082262</v>
      </c>
      <c r="M26" s="1">
        <v>3.727794</v>
      </c>
    </row>
    <row r="27">
      <c r="A27" s="1" t="s">
        <v>302</v>
      </c>
      <c r="B27" s="1">
        <v>1.0</v>
      </c>
      <c r="D27" s="1">
        <v>52.82023</v>
      </c>
      <c r="E27" s="1">
        <v>26.0</v>
      </c>
      <c r="J27" s="5">
        <f t="shared" si="1"/>
        <v>0.906355</v>
      </c>
      <c r="K27" s="1">
        <v>7.180835</v>
      </c>
      <c r="L27" s="1">
        <v>3.720544</v>
      </c>
      <c r="M27" s="1">
        <v>6.99413</v>
      </c>
    </row>
    <row r="28">
      <c r="A28" s="1" t="s">
        <v>37</v>
      </c>
      <c r="B28" s="1">
        <v>0.0</v>
      </c>
      <c r="D28" s="1">
        <v>54.236636</v>
      </c>
      <c r="E28" s="1">
        <v>27.0</v>
      </c>
      <c r="J28" s="5">
        <f t="shared" si="1"/>
        <v>1.416406</v>
      </c>
      <c r="K28" s="1">
        <v>1.622725</v>
      </c>
      <c r="L28" s="1">
        <v>2.455431</v>
      </c>
      <c r="M28" s="1">
        <v>9.436279</v>
      </c>
    </row>
    <row r="29">
      <c r="A29" s="1" t="s">
        <v>303</v>
      </c>
      <c r="B29" s="1">
        <v>3.0</v>
      </c>
      <c r="D29" s="1">
        <v>56.295695</v>
      </c>
      <c r="E29" s="1">
        <v>28.0</v>
      </c>
      <c r="J29" s="5">
        <f t="shared" si="1"/>
        <v>2.059059</v>
      </c>
      <c r="K29" s="1">
        <v>2.941562</v>
      </c>
      <c r="L29" s="1">
        <v>2.085917</v>
      </c>
      <c r="M29" s="1">
        <v>9.245941</v>
      </c>
    </row>
    <row r="30">
      <c r="A30" s="1" t="s">
        <v>304</v>
      </c>
      <c r="B30" s="1">
        <v>1.0</v>
      </c>
      <c r="D30" s="1">
        <v>57.507072</v>
      </c>
      <c r="E30" s="1">
        <v>29.0</v>
      </c>
      <c r="J30" s="5">
        <f t="shared" si="1"/>
        <v>1.211377</v>
      </c>
      <c r="K30" s="1">
        <v>3.721478</v>
      </c>
      <c r="L30" s="1">
        <v>2.848206</v>
      </c>
      <c r="M30" s="1">
        <v>7.355057</v>
      </c>
    </row>
    <row r="31">
      <c r="A31" s="1" t="s">
        <v>37</v>
      </c>
      <c r="B31" s="1">
        <v>0.0</v>
      </c>
      <c r="D31" s="1">
        <v>59.129477</v>
      </c>
      <c r="E31" s="1">
        <v>30.0</v>
      </c>
      <c r="J31" s="5">
        <f t="shared" si="1"/>
        <v>1.622405</v>
      </c>
      <c r="K31" s="1">
        <v>1.592276</v>
      </c>
      <c r="L31" s="1">
        <v>1.447332</v>
      </c>
      <c r="M31" s="1">
        <v>4.249263</v>
      </c>
    </row>
    <row r="32">
      <c r="A32" s="1" t="s">
        <v>305</v>
      </c>
      <c r="B32" s="1">
        <v>2.0</v>
      </c>
      <c r="D32" s="1">
        <v>59.219113</v>
      </c>
      <c r="E32" s="1">
        <v>31.0</v>
      </c>
      <c r="J32" s="5">
        <f t="shared" si="1"/>
        <v>0.089636</v>
      </c>
      <c r="K32" s="1">
        <v>2.119151</v>
      </c>
      <c r="L32" s="1">
        <v>3.57567</v>
      </c>
      <c r="M32" s="1">
        <v>5.589748</v>
      </c>
    </row>
    <row r="33">
      <c r="A33" s="1" t="s">
        <v>306</v>
      </c>
      <c r="B33" s="1">
        <v>1.0</v>
      </c>
      <c r="D33" s="1">
        <v>60.485965</v>
      </c>
      <c r="E33" s="1">
        <v>32.0</v>
      </c>
      <c r="J33" s="5">
        <f t="shared" si="1"/>
        <v>1.266852</v>
      </c>
      <c r="K33" s="1">
        <v>3.08876</v>
      </c>
      <c r="L33" s="1">
        <v>7.994209</v>
      </c>
      <c r="M33" s="1">
        <v>10.79671</v>
      </c>
    </row>
    <row r="34">
      <c r="A34" s="1" t="s">
        <v>37</v>
      </c>
      <c r="B34" s="1">
        <v>0.0</v>
      </c>
      <c r="D34" s="1">
        <v>64.707068</v>
      </c>
      <c r="E34" s="1">
        <v>33.0</v>
      </c>
      <c r="J34" s="5">
        <f t="shared" si="1"/>
        <v>4.221103</v>
      </c>
      <c r="K34" s="1">
        <v>3.863085</v>
      </c>
      <c r="L34" s="1">
        <v>6.432305</v>
      </c>
      <c r="M34" s="1">
        <v>7.856906</v>
      </c>
    </row>
    <row r="35">
      <c r="A35" s="1" t="s">
        <v>37</v>
      </c>
      <c r="B35" s="1">
        <v>0.0</v>
      </c>
      <c r="D35" s="1">
        <v>69.149832</v>
      </c>
      <c r="E35" s="1">
        <v>34.0</v>
      </c>
      <c r="J35" s="5">
        <f t="shared" si="1"/>
        <v>4.442764</v>
      </c>
      <c r="K35" s="1">
        <v>3.100618</v>
      </c>
      <c r="L35" s="1">
        <v>5.947662</v>
      </c>
      <c r="M35" s="1">
        <v>11.00571</v>
      </c>
    </row>
    <row r="36">
      <c r="A36" s="1" t="s">
        <v>307</v>
      </c>
      <c r="B36" s="1">
        <v>1.0</v>
      </c>
      <c r="D36" s="1">
        <v>70.351644</v>
      </c>
      <c r="E36" s="1">
        <v>35.0</v>
      </c>
      <c r="J36" s="5">
        <f t="shared" si="1"/>
        <v>1.201812</v>
      </c>
      <c r="K36" s="1">
        <v>0.496143</v>
      </c>
      <c r="L36" s="1">
        <v>2.873342</v>
      </c>
      <c r="M36" s="1">
        <v>3.174405</v>
      </c>
    </row>
    <row r="37">
      <c r="A37" s="1" t="s">
        <v>37</v>
      </c>
      <c r="B37" s="1">
        <v>0.0</v>
      </c>
      <c r="D37" s="1">
        <v>71.77819</v>
      </c>
      <c r="E37" s="1">
        <v>36.0</v>
      </c>
      <c r="J37" s="5">
        <f t="shared" si="1"/>
        <v>1.426546</v>
      </c>
      <c r="K37" s="1">
        <v>8.008289</v>
      </c>
      <c r="L37" s="1">
        <v>4.837175</v>
      </c>
      <c r="M37" s="1">
        <v>9.641472</v>
      </c>
    </row>
    <row r="38">
      <c r="A38" s="1" t="s">
        <v>37</v>
      </c>
      <c r="B38" s="1">
        <v>0.0</v>
      </c>
      <c r="D38" s="1">
        <v>73.059563</v>
      </c>
      <c r="E38" s="1">
        <v>37.0</v>
      </c>
      <c r="J38" s="5">
        <f t="shared" si="1"/>
        <v>1.281373</v>
      </c>
      <c r="K38" s="1">
        <v>6.014259</v>
      </c>
      <c r="L38" s="1">
        <v>9.42132</v>
      </c>
      <c r="M38" s="1">
        <v>7.101116</v>
      </c>
    </row>
    <row r="39">
      <c r="A39" s="1" t="s">
        <v>308</v>
      </c>
      <c r="B39" s="1">
        <v>1.0</v>
      </c>
      <c r="D39" s="1">
        <v>75.404803</v>
      </c>
      <c r="E39" s="1">
        <v>38.0</v>
      </c>
      <c r="J39" s="5">
        <f t="shared" si="1"/>
        <v>2.34524</v>
      </c>
      <c r="K39" s="1">
        <v>0.569203</v>
      </c>
      <c r="L39" s="1">
        <v>3.781385</v>
      </c>
      <c r="M39" s="1">
        <v>6.180936</v>
      </c>
    </row>
    <row r="40">
      <c r="A40" s="1" t="s">
        <v>37</v>
      </c>
      <c r="B40" s="1">
        <v>0.0</v>
      </c>
      <c r="D40" s="1">
        <v>78.196226</v>
      </c>
      <c r="E40" s="1">
        <v>39.0</v>
      </c>
      <c r="J40" s="5">
        <f t="shared" si="1"/>
        <v>2.791423</v>
      </c>
      <c r="K40" s="1">
        <v>3.997627</v>
      </c>
      <c r="L40" s="1">
        <v>3.158428</v>
      </c>
      <c r="M40" s="1">
        <v>18.841711</v>
      </c>
    </row>
    <row r="41">
      <c r="A41" s="1" t="s">
        <v>37</v>
      </c>
      <c r="B41" s="1">
        <v>0.0</v>
      </c>
      <c r="D41" s="1">
        <v>80.361161</v>
      </c>
      <c r="E41" s="1">
        <v>40.0</v>
      </c>
      <c r="J41" s="5">
        <f t="shared" si="1"/>
        <v>2.164935</v>
      </c>
      <c r="K41" s="1">
        <v>1.609145</v>
      </c>
      <c r="L41" s="1">
        <v>0.154604</v>
      </c>
      <c r="M41" s="1">
        <v>13.507967</v>
      </c>
    </row>
    <row r="42">
      <c r="A42" s="1" t="s">
        <v>37</v>
      </c>
      <c r="B42" s="1">
        <v>0.0</v>
      </c>
      <c r="D42" s="1">
        <v>80.783307</v>
      </c>
      <c r="E42" s="1">
        <v>41.0</v>
      </c>
      <c r="J42" s="5">
        <f t="shared" si="1"/>
        <v>0.422146</v>
      </c>
      <c r="K42" s="1">
        <v>1.721776</v>
      </c>
      <c r="L42" s="1">
        <v>3.654316</v>
      </c>
      <c r="M42" s="1">
        <v>12.87786</v>
      </c>
    </row>
    <row r="43">
      <c r="A43" s="1" t="s">
        <v>37</v>
      </c>
      <c r="B43" s="1">
        <v>0.0</v>
      </c>
      <c r="D43" s="1">
        <v>81.256962</v>
      </c>
      <c r="E43" s="1">
        <v>42.0</v>
      </c>
      <c r="J43" s="5">
        <f t="shared" si="1"/>
        <v>0.473655</v>
      </c>
      <c r="K43" s="1">
        <v>1.054199</v>
      </c>
      <c r="L43" s="1">
        <v>5.860455</v>
      </c>
      <c r="M43" s="1">
        <v>5.260586</v>
      </c>
    </row>
    <row r="44">
      <c r="A44" s="1" t="s">
        <v>37</v>
      </c>
      <c r="B44" s="1">
        <v>0.0</v>
      </c>
      <c r="D44" s="1">
        <v>82.217156</v>
      </c>
      <c r="E44" s="1">
        <v>43.0</v>
      </c>
      <c r="J44" s="5">
        <f t="shared" si="1"/>
        <v>0.960194</v>
      </c>
      <c r="K44" s="1">
        <v>2.158148</v>
      </c>
      <c r="L44" s="1">
        <v>2.039318</v>
      </c>
      <c r="M44" s="1">
        <v>7.158207</v>
      </c>
    </row>
    <row r="45">
      <c r="A45" s="1" t="s">
        <v>37</v>
      </c>
      <c r="B45" s="1">
        <v>0.0</v>
      </c>
      <c r="D45" s="1">
        <v>83.456481</v>
      </c>
      <c r="E45" s="1">
        <v>44.0</v>
      </c>
      <c r="J45" s="5">
        <f t="shared" si="1"/>
        <v>1.239325</v>
      </c>
      <c r="K45" s="1">
        <v>1.176231</v>
      </c>
      <c r="L45" s="1">
        <v>7.056407</v>
      </c>
      <c r="M45" s="1">
        <v>7.141525</v>
      </c>
    </row>
    <row r="46">
      <c r="A46" s="1" t="s">
        <v>37</v>
      </c>
      <c r="B46" s="1">
        <v>0.0</v>
      </c>
      <c r="D46" s="1">
        <v>85.576622</v>
      </c>
      <c r="E46" s="1">
        <v>45.0</v>
      </c>
      <c r="J46" s="5">
        <f t="shared" si="1"/>
        <v>2.120141</v>
      </c>
      <c r="K46" s="1">
        <v>0.683263</v>
      </c>
      <c r="L46" s="1">
        <v>4.381451</v>
      </c>
      <c r="M46" s="1">
        <v>7.710154</v>
      </c>
    </row>
    <row r="47">
      <c r="A47" s="1" t="s">
        <v>37</v>
      </c>
      <c r="B47" s="1">
        <v>0.0</v>
      </c>
      <c r="D47" s="1">
        <v>86.608536</v>
      </c>
      <c r="E47" s="1">
        <v>46.0</v>
      </c>
      <c r="J47" s="5">
        <f t="shared" si="1"/>
        <v>1.031914</v>
      </c>
      <c r="K47" s="1">
        <v>3.163508</v>
      </c>
      <c r="L47" s="1">
        <v>6.338719</v>
      </c>
      <c r="M47" s="1">
        <v>8.826599</v>
      </c>
    </row>
    <row r="48">
      <c r="A48" s="1" t="s">
        <v>37</v>
      </c>
      <c r="B48" s="1">
        <v>0.0</v>
      </c>
      <c r="D48" s="1">
        <v>93.993451</v>
      </c>
      <c r="E48" s="1">
        <v>47.0</v>
      </c>
      <c r="J48" s="5">
        <f t="shared" si="1"/>
        <v>7.384915</v>
      </c>
      <c r="K48" s="1">
        <v>7.095772</v>
      </c>
      <c r="L48" s="1">
        <v>4.130839</v>
      </c>
      <c r="M48" s="1">
        <v>5.863132</v>
      </c>
    </row>
    <row r="49">
      <c r="A49" s="1" t="s">
        <v>37</v>
      </c>
      <c r="B49" s="1">
        <v>0.0</v>
      </c>
      <c r="D49" s="1">
        <v>97.670715</v>
      </c>
      <c r="E49" s="1">
        <v>48.0</v>
      </c>
      <c r="J49" s="5">
        <f t="shared" si="1"/>
        <v>3.677264</v>
      </c>
      <c r="K49" s="1">
        <v>2.329538</v>
      </c>
      <c r="L49" s="1">
        <v>3.89049</v>
      </c>
      <c r="M49" s="1">
        <v>8.452709</v>
      </c>
    </row>
    <row r="50">
      <c r="A50" s="1" t="s">
        <v>37</v>
      </c>
      <c r="B50" s="1">
        <v>0.0</v>
      </c>
      <c r="D50" s="1">
        <v>103.573753</v>
      </c>
      <c r="E50" s="1">
        <v>49.0</v>
      </c>
      <c r="J50" s="5">
        <f t="shared" si="1"/>
        <v>5.903038</v>
      </c>
      <c r="K50" s="1">
        <v>5.001204</v>
      </c>
      <c r="L50" s="1">
        <v>3.149666</v>
      </c>
      <c r="M50" s="1">
        <v>6.379909</v>
      </c>
    </row>
    <row r="51">
      <c r="A51" s="1" t="s">
        <v>37</v>
      </c>
      <c r="B51" s="1">
        <v>0.0</v>
      </c>
      <c r="D51" s="1">
        <v>105.70699</v>
      </c>
      <c r="E51" s="1">
        <v>50.0</v>
      </c>
      <c r="J51" s="5">
        <f t="shared" si="1"/>
        <v>2.133237</v>
      </c>
      <c r="K51" s="1">
        <v>4.938698</v>
      </c>
      <c r="L51" s="1">
        <v>1.64287</v>
      </c>
      <c r="M51" s="1">
        <v>9.649842</v>
      </c>
    </row>
    <row r="52">
      <c r="A52" s="1" t="s">
        <v>309</v>
      </c>
      <c r="B52" s="1">
        <v>2.0</v>
      </c>
      <c r="D52" s="1">
        <v>110.754588</v>
      </c>
      <c r="E52" s="1">
        <v>51.0</v>
      </c>
      <c r="J52" s="5">
        <f t="shared" si="1"/>
        <v>5.047598</v>
      </c>
      <c r="K52" s="1">
        <v>1.621732</v>
      </c>
      <c r="L52" s="1">
        <v>4.380203</v>
      </c>
      <c r="M52" s="1">
        <v>11.461804</v>
      </c>
    </row>
    <row r="53">
      <c r="A53" s="1" t="s">
        <v>310</v>
      </c>
      <c r="B53" s="1">
        <v>1.0</v>
      </c>
      <c r="D53" s="1">
        <v>112.360392</v>
      </c>
      <c r="E53" s="1">
        <v>52.0</v>
      </c>
      <c r="J53" s="5">
        <f t="shared" si="1"/>
        <v>1.605804</v>
      </c>
      <c r="K53" s="1">
        <v>2.260574</v>
      </c>
      <c r="L53" s="1">
        <v>7.593872</v>
      </c>
      <c r="M53" s="1">
        <v>10.053011</v>
      </c>
    </row>
    <row r="54">
      <c r="A54" s="1" t="s">
        <v>37</v>
      </c>
      <c r="B54" s="1">
        <v>0.0</v>
      </c>
      <c r="D54" s="1">
        <v>112.377313</v>
      </c>
      <c r="E54" s="1">
        <v>53.0</v>
      </c>
      <c r="J54" s="5">
        <f t="shared" si="1"/>
        <v>0.016921</v>
      </c>
      <c r="K54" s="1">
        <v>3.038915</v>
      </c>
      <c r="L54" s="1">
        <v>4.995066</v>
      </c>
      <c r="M54" s="1">
        <v>7.495106</v>
      </c>
    </row>
    <row r="55">
      <c r="A55" s="1" t="s">
        <v>311</v>
      </c>
      <c r="B55" s="1">
        <v>1.0</v>
      </c>
      <c r="D55" s="1">
        <v>112.931862</v>
      </c>
      <c r="E55" s="1">
        <v>54.0</v>
      </c>
      <c r="J55" s="5">
        <f t="shared" si="1"/>
        <v>0.554549</v>
      </c>
      <c r="K55" s="1">
        <v>2.973782</v>
      </c>
      <c r="L55" s="1">
        <v>3.021963</v>
      </c>
      <c r="M55" s="1">
        <v>6.522677</v>
      </c>
    </row>
    <row r="56">
      <c r="A56" s="1" t="s">
        <v>37</v>
      </c>
      <c r="B56" s="1">
        <v>0.0</v>
      </c>
      <c r="D56" s="1">
        <v>115.318875</v>
      </c>
      <c r="E56" s="1">
        <v>55.0</v>
      </c>
      <c r="J56" s="5">
        <f t="shared" si="1"/>
        <v>2.387013</v>
      </c>
      <c r="K56" s="1">
        <v>8.245798</v>
      </c>
      <c r="L56" s="1">
        <v>9.954651</v>
      </c>
      <c r="M56" s="1">
        <v>9.275421</v>
      </c>
    </row>
    <row r="57">
      <c r="A57" s="1" t="s">
        <v>312</v>
      </c>
      <c r="B57" s="1">
        <v>1.0</v>
      </c>
      <c r="D57" s="1">
        <v>118.325585</v>
      </c>
      <c r="E57" s="1">
        <v>56.0</v>
      </c>
      <c r="J57" s="5">
        <f t="shared" si="1"/>
        <v>3.00671</v>
      </c>
      <c r="K57" s="1">
        <v>3.207333</v>
      </c>
      <c r="L57" s="1">
        <v>4.093774</v>
      </c>
      <c r="M57" s="1">
        <v>10.690803</v>
      </c>
    </row>
    <row r="58">
      <c r="A58" s="1" t="s">
        <v>313</v>
      </c>
      <c r="B58" s="1">
        <v>1.0</v>
      </c>
      <c r="D58" s="1">
        <v>119.040353</v>
      </c>
      <c r="E58" s="1">
        <v>57.0</v>
      </c>
      <c r="J58" s="5">
        <f t="shared" si="1"/>
        <v>0.714768</v>
      </c>
      <c r="K58" s="1">
        <v>1.945689</v>
      </c>
      <c r="L58" s="1">
        <v>1.292776</v>
      </c>
      <c r="M58" s="1">
        <v>11.890363</v>
      </c>
    </row>
    <row r="59">
      <c r="A59" s="1" t="s">
        <v>37</v>
      </c>
      <c r="B59" s="1">
        <v>0.0</v>
      </c>
      <c r="D59" s="1">
        <v>119.177043</v>
      </c>
      <c r="E59" s="1">
        <v>58.0</v>
      </c>
      <c r="J59" s="5">
        <f t="shared" si="1"/>
        <v>0.13669</v>
      </c>
      <c r="K59" s="1">
        <v>1.786791</v>
      </c>
      <c r="L59" s="1">
        <v>3.851519</v>
      </c>
      <c r="M59" s="1">
        <v>7.270769</v>
      </c>
    </row>
    <row r="60">
      <c r="A60" s="1" t="s">
        <v>314</v>
      </c>
      <c r="B60" s="1">
        <v>2.0</v>
      </c>
      <c r="D60" s="1">
        <v>120.632629</v>
      </c>
      <c r="E60" s="1">
        <v>59.0</v>
      </c>
      <c r="J60" s="5">
        <f t="shared" si="1"/>
        <v>1.455586</v>
      </c>
      <c r="K60" s="1">
        <v>0.125911</v>
      </c>
      <c r="L60" s="1">
        <v>5.162349</v>
      </c>
      <c r="M60" s="1">
        <v>9.482393</v>
      </c>
    </row>
    <row r="61">
      <c r="A61" s="1" t="s">
        <v>315</v>
      </c>
      <c r="B61" s="1">
        <v>1.0</v>
      </c>
      <c r="D61" s="1">
        <v>121.922147</v>
      </c>
      <c r="E61" s="1">
        <v>60.0</v>
      </c>
      <c r="J61" s="5">
        <f t="shared" si="1"/>
        <v>1.289518</v>
      </c>
      <c r="K61" s="1">
        <v>0.379813</v>
      </c>
      <c r="L61" s="1">
        <v>4.985913</v>
      </c>
      <c r="M61" s="1">
        <v>10.264323</v>
      </c>
    </row>
    <row r="62">
      <c r="A62" s="1" t="s">
        <v>37</v>
      </c>
      <c r="B62" s="1">
        <v>0.0</v>
      </c>
      <c r="D62" s="1">
        <v>122.75178</v>
      </c>
      <c r="E62" s="1">
        <v>61.0</v>
      </c>
      <c r="J62" s="5">
        <f t="shared" si="1"/>
        <v>0.829633</v>
      </c>
      <c r="K62" s="1">
        <v>3.303196</v>
      </c>
      <c r="L62" s="1">
        <v>4.624436</v>
      </c>
      <c r="M62" s="1">
        <v>10.758016</v>
      </c>
    </row>
    <row r="63">
      <c r="A63" s="1" t="s">
        <v>37</v>
      </c>
      <c r="B63" s="1">
        <v>0.0</v>
      </c>
      <c r="D63" s="1">
        <v>123.642783</v>
      </c>
      <c r="E63" s="1">
        <v>62.0</v>
      </c>
      <c r="J63" s="5">
        <f t="shared" si="1"/>
        <v>0.891003</v>
      </c>
      <c r="K63" s="1">
        <v>5.435183</v>
      </c>
      <c r="L63" s="1">
        <v>4.438525</v>
      </c>
      <c r="M63" s="1">
        <v>15.000772</v>
      </c>
    </row>
    <row r="64">
      <c r="A64" s="1" t="s">
        <v>37</v>
      </c>
      <c r="B64" s="1">
        <v>0.0</v>
      </c>
      <c r="D64" s="1">
        <v>125.84054</v>
      </c>
      <c r="E64" s="1">
        <v>63.0</v>
      </c>
      <c r="J64" s="5">
        <f t="shared" si="1"/>
        <v>2.197757</v>
      </c>
      <c r="K64" s="1">
        <v>0.911325</v>
      </c>
      <c r="L64" s="1">
        <v>7.411367</v>
      </c>
      <c r="M64" s="1">
        <v>8.961906</v>
      </c>
    </row>
    <row r="65">
      <c r="A65" s="1" t="s">
        <v>316</v>
      </c>
      <c r="B65" s="1">
        <v>1.0</v>
      </c>
      <c r="D65" s="1">
        <v>128.724973</v>
      </c>
      <c r="E65" s="1">
        <v>64.0</v>
      </c>
      <c r="J65" s="5">
        <f t="shared" si="1"/>
        <v>2.884433</v>
      </c>
      <c r="K65" s="1">
        <v>1.553265</v>
      </c>
      <c r="L65" s="1">
        <v>10.258361</v>
      </c>
      <c r="M65" s="1">
        <v>9.87636</v>
      </c>
    </row>
    <row r="66">
      <c r="A66" s="1" t="s">
        <v>37</v>
      </c>
      <c r="B66" s="1">
        <v>0.0</v>
      </c>
      <c r="D66" s="1">
        <v>129.703625</v>
      </c>
      <c r="E66" s="1">
        <v>65.0</v>
      </c>
      <c r="J66" s="5">
        <f t="shared" si="1"/>
        <v>0.978652</v>
      </c>
      <c r="K66" s="1">
        <v>6.304761</v>
      </c>
      <c r="L66" s="1">
        <v>4.631744</v>
      </c>
      <c r="M66" s="1">
        <v>8.413575</v>
      </c>
    </row>
    <row r="67">
      <c r="A67" s="1" t="s">
        <v>37</v>
      </c>
      <c r="B67" s="1">
        <v>0.0</v>
      </c>
      <c r="D67" s="1">
        <v>129.991776</v>
      </c>
      <c r="E67" s="1">
        <v>66.0</v>
      </c>
      <c r="J67" s="5">
        <f t="shared" si="1"/>
        <v>0.288151</v>
      </c>
      <c r="K67" s="1">
        <v>2.225875</v>
      </c>
      <c r="L67" s="1">
        <v>11.790617</v>
      </c>
      <c r="M67" s="1">
        <v>8.650074</v>
      </c>
    </row>
    <row r="68">
      <c r="A68" s="1" t="s">
        <v>37</v>
      </c>
      <c r="B68" s="1">
        <v>0.0</v>
      </c>
      <c r="D68" s="1">
        <v>132.804243</v>
      </c>
      <c r="E68" s="1">
        <v>67.0</v>
      </c>
      <c r="J68" s="5">
        <f t="shared" si="1"/>
        <v>2.812467</v>
      </c>
      <c r="K68" s="1">
        <v>2.907222</v>
      </c>
      <c r="L68" s="1">
        <v>4.115448</v>
      </c>
      <c r="M68" s="1">
        <v>12.455931</v>
      </c>
    </row>
    <row r="69">
      <c r="A69" s="1" t="s">
        <v>37</v>
      </c>
      <c r="B69" s="1">
        <v>0.0</v>
      </c>
      <c r="D69" s="1">
        <v>133.222912</v>
      </c>
      <c r="E69" s="1">
        <v>68.0</v>
      </c>
      <c r="J69" s="5">
        <f t="shared" si="1"/>
        <v>0.418669</v>
      </c>
      <c r="K69" s="1">
        <v>5.206466</v>
      </c>
      <c r="L69" s="1">
        <v>11.287717</v>
      </c>
    </row>
    <row r="70">
      <c r="A70" s="1" t="s">
        <v>317</v>
      </c>
      <c r="B70" s="1">
        <v>1.0</v>
      </c>
      <c r="D70" s="1">
        <v>133.300386</v>
      </c>
      <c r="E70" s="1">
        <v>69.0</v>
      </c>
      <c r="J70" s="5">
        <f t="shared" si="1"/>
        <v>0.077474</v>
      </c>
      <c r="K70" s="1">
        <v>2.501081</v>
      </c>
      <c r="L70" s="1">
        <v>1.698347</v>
      </c>
    </row>
    <row r="71">
      <c r="A71" s="1" t="s">
        <v>318</v>
      </c>
      <c r="B71" s="1">
        <v>1.0</v>
      </c>
      <c r="D71" s="1">
        <v>137.240672</v>
      </c>
      <c r="E71" s="1">
        <v>70.0</v>
      </c>
      <c r="J71" s="5">
        <f t="shared" si="1"/>
        <v>3.940286</v>
      </c>
      <c r="K71" s="1">
        <v>2.762011</v>
      </c>
      <c r="L71" s="1">
        <v>5.505838</v>
      </c>
    </row>
    <row r="72">
      <c r="A72" s="1" t="s">
        <v>319</v>
      </c>
      <c r="B72" s="1">
        <v>1.0</v>
      </c>
      <c r="D72" s="1">
        <v>141.308675</v>
      </c>
      <c r="E72" s="1">
        <v>71.0</v>
      </c>
      <c r="J72" s="5">
        <f t="shared" si="1"/>
        <v>4.068003</v>
      </c>
      <c r="K72" s="1">
        <v>3.224218</v>
      </c>
      <c r="L72" s="1">
        <v>2.689303</v>
      </c>
    </row>
    <row r="73">
      <c r="A73" s="1" t="s">
        <v>37</v>
      </c>
      <c r="B73" s="1">
        <v>0.0</v>
      </c>
      <c r="D73" s="1">
        <v>144.791984</v>
      </c>
      <c r="E73" s="1">
        <v>72.0</v>
      </c>
      <c r="J73" s="5">
        <f t="shared" si="1"/>
        <v>3.483309</v>
      </c>
      <c r="K73" s="1">
        <v>1.474069</v>
      </c>
      <c r="L73" s="1">
        <v>6.299673</v>
      </c>
    </row>
    <row r="74">
      <c r="A74" s="1" t="s">
        <v>320</v>
      </c>
      <c r="B74" s="1">
        <v>1.0</v>
      </c>
      <c r="D74" s="1">
        <v>147.322934</v>
      </c>
      <c r="E74" s="1">
        <v>73.0</v>
      </c>
      <c r="J74" s="5">
        <f t="shared" si="1"/>
        <v>2.53095</v>
      </c>
      <c r="K74" s="1">
        <v>2.341869</v>
      </c>
      <c r="L74" s="1">
        <v>1.923918</v>
      </c>
    </row>
    <row r="75">
      <c r="A75" s="1" t="s">
        <v>37</v>
      </c>
      <c r="B75" s="1">
        <v>0.0</v>
      </c>
      <c r="D75" s="1">
        <v>147.444226</v>
      </c>
      <c r="E75" s="1">
        <v>74.0</v>
      </c>
      <c r="J75" s="5">
        <f t="shared" si="1"/>
        <v>0.121292</v>
      </c>
      <c r="K75" s="1">
        <v>0.808832</v>
      </c>
      <c r="L75" s="1">
        <v>6.131051</v>
      </c>
    </row>
    <row r="76">
      <c r="A76" s="1" t="s">
        <v>321</v>
      </c>
      <c r="B76" s="1">
        <v>1.0</v>
      </c>
      <c r="D76" s="1">
        <v>147.892137</v>
      </c>
      <c r="E76" s="1">
        <v>75.0</v>
      </c>
      <c r="J76" s="5">
        <f t="shared" si="1"/>
        <v>0.447911</v>
      </c>
      <c r="K76" s="1">
        <v>1.105291</v>
      </c>
      <c r="L76" s="1">
        <v>5.742385</v>
      </c>
    </row>
    <row r="77">
      <c r="A77" s="1" t="s">
        <v>37</v>
      </c>
      <c r="B77" s="1">
        <v>0.0</v>
      </c>
      <c r="D77" s="1">
        <v>151.043478</v>
      </c>
      <c r="E77" s="1">
        <v>76.0</v>
      </c>
      <c r="J77" s="5">
        <f t="shared" si="1"/>
        <v>3.151341</v>
      </c>
      <c r="K77" s="1">
        <v>4.10895</v>
      </c>
      <c r="L77" s="1">
        <v>3.581251</v>
      </c>
    </row>
    <row r="78">
      <c r="A78" s="1" t="s">
        <v>37</v>
      </c>
      <c r="B78" s="1">
        <v>0.0</v>
      </c>
      <c r="D78" s="1">
        <v>151.889764</v>
      </c>
      <c r="E78" s="1">
        <v>77.0</v>
      </c>
      <c r="J78" s="5">
        <f t="shared" si="1"/>
        <v>0.846286</v>
      </c>
      <c r="K78" s="1">
        <v>7.141048</v>
      </c>
      <c r="L78" s="1">
        <v>4.704341</v>
      </c>
    </row>
    <row r="79">
      <c r="A79" s="1" t="s">
        <v>322</v>
      </c>
      <c r="B79" s="1">
        <v>1.0</v>
      </c>
      <c r="D79" s="1">
        <v>153.485834</v>
      </c>
      <c r="E79" s="1">
        <v>78.0</v>
      </c>
      <c r="J79" s="5">
        <f t="shared" si="1"/>
        <v>1.59607</v>
      </c>
      <c r="K79" s="1">
        <v>1.241913</v>
      </c>
      <c r="L79" s="1">
        <v>1.308349</v>
      </c>
    </row>
    <row r="80">
      <c r="A80" s="1" t="s">
        <v>37</v>
      </c>
      <c r="B80" s="1">
        <v>0.0</v>
      </c>
      <c r="D80" s="1">
        <v>153.498909</v>
      </c>
      <c r="E80" s="1">
        <v>79.0</v>
      </c>
      <c r="J80" s="5">
        <f t="shared" si="1"/>
        <v>0.013075</v>
      </c>
      <c r="K80" s="1">
        <v>4.205977</v>
      </c>
      <c r="L80" s="1">
        <v>7.195264</v>
      </c>
    </row>
    <row r="81">
      <c r="A81" s="1" t="s">
        <v>323</v>
      </c>
      <c r="B81" s="1">
        <v>2.0</v>
      </c>
      <c r="D81" s="1">
        <v>154.959874</v>
      </c>
      <c r="E81" s="1">
        <v>80.0</v>
      </c>
      <c r="J81" s="5">
        <f t="shared" si="1"/>
        <v>1.460965</v>
      </c>
      <c r="K81" s="1">
        <v>2.678769</v>
      </c>
      <c r="L81" s="1">
        <v>4.811571</v>
      </c>
    </row>
    <row r="82">
      <c r="A82" s="1" t="s">
        <v>324</v>
      </c>
      <c r="B82" s="1">
        <v>1.0</v>
      </c>
      <c r="D82" s="1">
        <v>155.220685</v>
      </c>
      <c r="E82" s="1">
        <v>81.0</v>
      </c>
      <c r="J82" s="5">
        <f t="shared" si="1"/>
        <v>0.260811</v>
      </c>
      <c r="K82" s="1">
        <v>3.385909</v>
      </c>
      <c r="L82" s="1">
        <v>2.676225</v>
      </c>
    </row>
    <row r="83">
      <c r="A83" s="1" t="s">
        <v>325</v>
      </c>
      <c r="B83" s="1">
        <v>1.0</v>
      </c>
      <c r="D83" s="1">
        <v>155.584826</v>
      </c>
      <c r="E83" s="1">
        <v>82.0</v>
      </c>
      <c r="J83" s="5">
        <f t="shared" si="1"/>
        <v>0.364141</v>
      </c>
      <c r="K83" s="1">
        <v>6.911936</v>
      </c>
      <c r="L83" s="1">
        <v>6.910095</v>
      </c>
    </row>
    <row r="84">
      <c r="A84" s="1" t="s">
        <v>326</v>
      </c>
      <c r="B84" s="1">
        <v>1.0</v>
      </c>
      <c r="D84" s="1">
        <v>156.274884</v>
      </c>
      <c r="E84" s="1">
        <v>83.0</v>
      </c>
      <c r="J84" s="5">
        <f t="shared" si="1"/>
        <v>0.690058</v>
      </c>
      <c r="K84" s="1">
        <v>3.95063</v>
      </c>
      <c r="L84" s="1">
        <v>8.685673</v>
      </c>
    </row>
    <row r="85">
      <c r="A85" s="1" t="s">
        <v>37</v>
      </c>
      <c r="B85" s="1">
        <v>0.0</v>
      </c>
      <c r="D85" s="1">
        <v>157.232087</v>
      </c>
      <c r="E85" s="1">
        <v>84.0</v>
      </c>
      <c r="J85" s="5">
        <f t="shared" si="1"/>
        <v>0.957203</v>
      </c>
      <c r="K85" s="1">
        <v>0.315624</v>
      </c>
      <c r="L85" s="1">
        <v>2.775736</v>
      </c>
    </row>
    <row r="86">
      <c r="A86" s="1" t="s">
        <v>327</v>
      </c>
      <c r="B86" s="1">
        <v>1.0</v>
      </c>
      <c r="D86" s="1">
        <v>158.433032</v>
      </c>
      <c r="E86" s="1">
        <v>85.0</v>
      </c>
      <c r="J86" s="5">
        <f t="shared" si="1"/>
        <v>1.200945</v>
      </c>
      <c r="K86" s="1">
        <v>1.120296</v>
      </c>
      <c r="L86" s="1">
        <v>6.556677</v>
      </c>
    </row>
    <row r="87">
      <c r="A87" s="1" t="s">
        <v>328</v>
      </c>
      <c r="B87" s="1">
        <v>1.0</v>
      </c>
      <c r="D87" s="1">
        <v>159.378047</v>
      </c>
      <c r="E87" s="1">
        <v>86.0</v>
      </c>
      <c r="J87" s="5">
        <f t="shared" si="1"/>
        <v>0.945015</v>
      </c>
      <c r="K87" s="1">
        <v>1.881629</v>
      </c>
      <c r="L87" s="1">
        <v>6.236476</v>
      </c>
    </row>
    <row r="88">
      <c r="A88" s="1" t="s">
        <v>37</v>
      </c>
      <c r="B88" s="1">
        <v>0.0</v>
      </c>
      <c r="D88" s="1">
        <v>159.609263</v>
      </c>
      <c r="E88" s="1">
        <v>87.0</v>
      </c>
      <c r="J88" s="5">
        <f t="shared" si="1"/>
        <v>0.231216</v>
      </c>
      <c r="K88" s="1">
        <v>2.932807</v>
      </c>
      <c r="L88" s="1">
        <v>3.550903</v>
      </c>
    </row>
    <row r="89">
      <c r="A89" s="1" t="s">
        <v>37</v>
      </c>
      <c r="B89" s="1">
        <v>0.0</v>
      </c>
      <c r="D89" s="1">
        <v>159.880364</v>
      </c>
      <c r="E89" s="1">
        <v>88.0</v>
      </c>
      <c r="J89" s="5">
        <f t="shared" si="1"/>
        <v>0.271101</v>
      </c>
      <c r="K89" s="1">
        <v>4.199432</v>
      </c>
      <c r="L89" s="1">
        <v>5.360692</v>
      </c>
    </row>
    <row r="90">
      <c r="A90" s="1" t="s">
        <v>37</v>
      </c>
      <c r="B90" s="1">
        <v>0.0</v>
      </c>
      <c r="D90" s="1">
        <v>160.292526</v>
      </c>
      <c r="E90" s="1">
        <v>89.0</v>
      </c>
      <c r="J90" s="5">
        <f t="shared" si="1"/>
        <v>0.412162</v>
      </c>
      <c r="K90" s="1">
        <v>4.784338</v>
      </c>
      <c r="L90" s="1">
        <v>4.890592</v>
      </c>
    </row>
    <row r="91">
      <c r="A91" s="1" t="s">
        <v>37</v>
      </c>
      <c r="B91" s="1">
        <v>0.0</v>
      </c>
      <c r="D91" s="1">
        <v>160.688645</v>
      </c>
      <c r="E91" s="1">
        <v>90.0</v>
      </c>
      <c r="J91" s="5">
        <f t="shared" si="1"/>
        <v>0.396119</v>
      </c>
      <c r="K91" s="1">
        <v>0.757656</v>
      </c>
      <c r="L91" s="1">
        <v>2.596313</v>
      </c>
    </row>
    <row r="92">
      <c r="A92" s="1" t="s">
        <v>37</v>
      </c>
      <c r="B92" s="1">
        <v>0.0</v>
      </c>
      <c r="D92" s="1">
        <v>163.456034</v>
      </c>
      <c r="E92" s="1">
        <v>91.0</v>
      </c>
      <c r="J92" s="5">
        <f t="shared" si="1"/>
        <v>2.767389</v>
      </c>
      <c r="K92" s="1">
        <v>4.068355</v>
      </c>
      <c r="L92" s="1">
        <v>6.894704</v>
      </c>
    </row>
    <row r="93">
      <c r="A93" s="1" t="s">
        <v>37</v>
      </c>
      <c r="B93" s="1">
        <v>0.0</v>
      </c>
      <c r="D93" s="1">
        <v>167.702027</v>
      </c>
      <c r="E93" s="1">
        <v>92.0</v>
      </c>
      <c r="J93" s="5">
        <f t="shared" si="1"/>
        <v>4.245993</v>
      </c>
      <c r="K93" s="1">
        <v>2.840042</v>
      </c>
      <c r="L93" s="1">
        <v>6.888723</v>
      </c>
    </row>
    <row r="94">
      <c r="A94" s="1" t="s">
        <v>329</v>
      </c>
      <c r="B94" s="1">
        <v>1.0</v>
      </c>
      <c r="D94" s="1">
        <v>170.551806</v>
      </c>
      <c r="E94" s="1">
        <v>93.0</v>
      </c>
      <c r="J94" s="5">
        <f t="shared" si="1"/>
        <v>2.849779</v>
      </c>
      <c r="K94" s="1">
        <v>1.724721</v>
      </c>
      <c r="L94" s="1">
        <v>6.584458</v>
      </c>
    </row>
    <row r="95">
      <c r="A95" s="1" t="s">
        <v>37</v>
      </c>
      <c r="B95" s="1">
        <v>0.0</v>
      </c>
      <c r="D95" s="1">
        <v>171.450243</v>
      </c>
      <c r="E95" s="1">
        <v>94.0</v>
      </c>
      <c r="J95" s="5">
        <f t="shared" si="1"/>
        <v>0.898437</v>
      </c>
      <c r="K95" s="1">
        <v>7.285129</v>
      </c>
      <c r="L95" s="1">
        <v>7.824368</v>
      </c>
    </row>
    <row r="96">
      <c r="A96" s="1" t="s">
        <v>37</v>
      </c>
      <c r="B96" s="1">
        <v>0.0</v>
      </c>
      <c r="D96" s="1">
        <v>172.881344</v>
      </c>
      <c r="E96" s="1">
        <v>95.0</v>
      </c>
      <c r="J96" s="5">
        <f t="shared" si="1"/>
        <v>1.431101</v>
      </c>
      <c r="K96" s="1">
        <v>9.069482</v>
      </c>
      <c r="L96" s="1">
        <v>5.890135</v>
      </c>
    </row>
    <row r="97">
      <c r="A97" s="1" t="s">
        <v>37</v>
      </c>
      <c r="B97" s="1">
        <v>0.0</v>
      </c>
      <c r="D97" s="1">
        <v>175.01843</v>
      </c>
      <c r="E97" s="1">
        <v>96.0</v>
      </c>
      <c r="J97" s="5">
        <f t="shared" si="1"/>
        <v>2.137086</v>
      </c>
      <c r="K97" s="1">
        <v>4.103273</v>
      </c>
      <c r="L97" s="1">
        <v>2.664251</v>
      </c>
    </row>
    <row r="98">
      <c r="A98" s="1" t="s">
        <v>330</v>
      </c>
      <c r="B98" s="1">
        <v>1.0</v>
      </c>
      <c r="D98" s="1">
        <v>177.882548</v>
      </c>
      <c r="E98" s="1">
        <v>97.0</v>
      </c>
      <c r="J98" s="5">
        <f t="shared" si="1"/>
        <v>2.864118</v>
      </c>
      <c r="K98" s="1">
        <v>1.71735</v>
      </c>
      <c r="L98" s="1">
        <v>8.638041</v>
      </c>
    </row>
    <row r="99">
      <c r="A99" s="1" t="s">
        <v>37</v>
      </c>
      <c r="B99" s="1">
        <v>0.0</v>
      </c>
      <c r="D99" s="1">
        <v>178.332738</v>
      </c>
      <c r="E99" s="1">
        <v>98.0</v>
      </c>
      <c r="J99" s="5">
        <f t="shared" si="1"/>
        <v>0.45019</v>
      </c>
      <c r="K99" s="1">
        <v>4.621453</v>
      </c>
      <c r="L99" s="1">
        <v>3.358946</v>
      </c>
    </row>
    <row r="100">
      <c r="A100" s="1" t="s">
        <v>37</v>
      </c>
      <c r="B100" s="1">
        <v>0.0</v>
      </c>
      <c r="D100" s="1">
        <v>182.821246</v>
      </c>
      <c r="E100" s="1">
        <v>99.0</v>
      </c>
      <c r="J100" s="5">
        <f t="shared" si="1"/>
        <v>4.488508</v>
      </c>
      <c r="K100" s="1">
        <v>7.997978</v>
      </c>
      <c r="L100" s="1">
        <v>3.208412</v>
      </c>
    </row>
    <row r="101">
      <c r="A101" s="1" t="s">
        <v>37</v>
      </c>
      <c r="B101" s="1">
        <v>0.0</v>
      </c>
      <c r="D101" s="1">
        <v>183.83021</v>
      </c>
      <c r="E101" s="1">
        <v>100.0</v>
      </c>
      <c r="J101" s="5">
        <f t="shared" si="1"/>
        <v>1.008964</v>
      </c>
      <c r="K101" s="1">
        <v>3.286634</v>
      </c>
      <c r="L101" s="1">
        <v>9.533255</v>
      </c>
    </row>
    <row r="102">
      <c r="A102" s="1" t="s">
        <v>37</v>
      </c>
      <c r="B102" s="1">
        <v>0.0</v>
      </c>
      <c r="D102" s="1">
        <v>184.442978</v>
      </c>
      <c r="E102" s="1">
        <v>101.0</v>
      </c>
      <c r="J102" s="5">
        <f t="shared" si="1"/>
        <v>0.612768</v>
      </c>
      <c r="K102" s="1">
        <v>8.762412</v>
      </c>
      <c r="L102" s="1">
        <v>5.766078</v>
      </c>
    </row>
    <row r="103">
      <c r="A103" s="1" t="s">
        <v>37</v>
      </c>
      <c r="B103" s="1">
        <v>0.0</v>
      </c>
      <c r="D103" s="1">
        <v>185.180731</v>
      </c>
      <c r="E103" s="1">
        <v>102.0</v>
      </c>
      <c r="J103" s="5">
        <f t="shared" si="1"/>
        <v>0.737753</v>
      </c>
      <c r="K103" s="1">
        <v>3.308924</v>
      </c>
      <c r="L103" s="1">
        <v>9.978111</v>
      </c>
    </row>
    <row r="104">
      <c r="A104" s="1" t="s">
        <v>331</v>
      </c>
      <c r="B104" s="1">
        <v>1.0</v>
      </c>
      <c r="D104" s="1">
        <v>186.703552</v>
      </c>
      <c r="E104" s="1">
        <v>103.0</v>
      </c>
      <c r="J104" s="5">
        <f t="shared" si="1"/>
        <v>1.522821</v>
      </c>
      <c r="K104" s="1">
        <v>0.914728</v>
      </c>
      <c r="L104" s="1">
        <v>5.491922</v>
      </c>
    </row>
    <row r="105">
      <c r="A105" s="1" t="s">
        <v>37</v>
      </c>
      <c r="B105" s="1">
        <v>0.0</v>
      </c>
      <c r="D105" s="1">
        <v>189.054059</v>
      </c>
      <c r="E105" s="1">
        <v>104.0</v>
      </c>
      <c r="J105" s="5">
        <f t="shared" si="1"/>
        <v>2.350507</v>
      </c>
      <c r="K105" s="1">
        <v>1.228238</v>
      </c>
      <c r="L105" s="1">
        <v>8.1172</v>
      </c>
    </row>
    <row r="106">
      <c r="A106" s="1" t="s">
        <v>332</v>
      </c>
      <c r="B106" s="1">
        <v>1.0</v>
      </c>
      <c r="D106" s="1">
        <v>189.742467</v>
      </c>
      <c r="E106" s="1">
        <v>105.0</v>
      </c>
      <c r="J106" s="5">
        <f t="shared" si="1"/>
        <v>0.688408</v>
      </c>
      <c r="K106" s="1">
        <v>6.203241</v>
      </c>
      <c r="L106" s="1">
        <v>5.00932</v>
      </c>
    </row>
    <row r="107">
      <c r="A107" s="1" t="s">
        <v>37</v>
      </c>
      <c r="B107" s="1">
        <v>0.0</v>
      </c>
      <c r="D107" s="1">
        <v>191.540727</v>
      </c>
      <c r="E107" s="1">
        <v>106.0</v>
      </c>
      <c r="J107" s="5">
        <f t="shared" si="1"/>
        <v>1.79826</v>
      </c>
      <c r="K107" s="1">
        <v>0.763662</v>
      </c>
      <c r="L107" s="1">
        <v>5.242485</v>
      </c>
    </row>
    <row r="108">
      <c r="A108" s="1" t="s">
        <v>37</v>
      </c>
      <c r="B108" s="1">
        <v>0.0</v>
      </c>
      <c r="D108" s="1">
        <v>192.716249</v>
      </c>
      <c r="E108" s="1">
        <v>107.0</v>
      </c>
      <c r="J108" s="5">
        <f t="shared" si="1"/>
        <v>1.175522</v>
      </c>
      <c r="K108" s="1">
        <v>4.072668</v>
      </c>
      <c r="L108" s="1">
        <v>6.636435</v>
      </c>
    </row>
    <row r="109">
      <c r="A109" s="1" t="s">
        <v>37</v>
      </c>
      <c r="B109" s="1">
        <v>0.0</v>
      </c>
      <c r="D109" s="1">
        <v>199.737311</v>
      </c>
      <c r="E109" s="1">
        <v>108.0</v>
      </c>
      <c r="J109" s="5">
        <f t="shared" si="1"/>
        <v>7.021062</v>
      </c>
      <c r="K109" s="1">
        <v>2.876042</v>
      </c>
      <c r="L109" s="1">
        <v>2.630296</v>
      </c>
    </row>
    <row r="110">
      <c r="A110" s="1" t="s">
        <v>37</v>
      </c>
      <c r="B110" s="1">
        <v>0.0</v>
      </c>
      <c r="D110" s="1">
        <v>200.962047</v>
      </c>
      <c r="E110" s="1">
        <v>109.0</v>
      </c>
      <c r="J110" s="5">
        <f t="shared" si="1"/>
        <v>1.224736</v>
      </c>
      <c r="K110" s="1">
        <v>1.274881</v>
      </c>
      <c r="L110" s="1">
        <v>6.977238</v>
      </c>
    </row>
    <row r="111">
      <c r="A111" s="1" t="s">
        <v>333</v>
      </c>
      <c r="B111" s="1">
        <v>1.0</v>
      </c>
      <c r="D111" s="1">
        <v>201.667168</v>
      </c>
      <c r="E111" s="1">
        <v>110.0</v>
      </c>
      <c r="J111" s="5">
        <f t="shared" si="1"/>
        <v>0.705121</v>
      </c>
      <c r="K111" s="1">
        <v>5.449507</v>
      </c>
      <c r="L111" s="1">
        <v>2.24711</v>
      </c>
    </row>
    <row r="112">
      <c r="A112" s="1" t="s">
        <v>37</v>
      </c>
      <c r="B112" s="1">
        <v>0.0</v>
      </c>
      <c r="D112" s="1">
        <v>204.16938</v>
      </c>
      <c r="E112" s="1">
        <v>111.0</v>
      </c>
      <c r="J112" s="5">
        <f t="shared" si="1"/>
        <v>2.502212</v>
      </c>
      <c r="K112" s="1">
        <v>1.178581</v>
      </c>
      <c r="L112" s="1">
        <v>11.028501</v>
      </c>
    </row>
    <row r="113">
      <c r="A113" s="1" t="s">
        <v>334</v>
      </c>
      <c r="B113" s="1">
        <v>3.0</v>
      </c>
      <c r="D113" s="1">
        <v>204.743432</v>
      </c>
      <c r="E113" s="1">
        <v>112.0</v>
      </c>
      <c r="J113" s="5">
        <f t="shared" si="1"/>
        <v>0.574052</v>
      </c>
      <c r="K113" s="1">
        <v>5.245348</v>
      </c>
    </row>
    <row r="114">
      <c r="A114" s="1" t="s">
        <v>37</v>
      </c>
      <c r="B114" s="1">
        <v>0.0</v>
      </c>
      <c r="D114" s="1">
        <v>206.115069</v>
      </c>
      <c r="E114" s="1">
        <v>113.0</v>
      </c>
      <c r="J114" s="5">
        <f t="shared" si="1"/>
        <v>1.371637</v>
      </c>
      <c r="K114" s="1">
        <v>2.447283</v>
      </c>
    </row>
    <row r="115">
      <c r="A115" s="1" t="s">
        <v>37</v>
      </c>
      <c r="B115" s="1">
        <v>0.0</v>
      </c>
      <c r="D115" s="1">
        <v>206.945883</v>
      </c>
      <c r="E115" s="1">
        <v>114.0</v>
      </c>
      <c r="J115" s="5">
        <f t="shared" si="1"/>
        <v>0.830814</v>
      </c>
      <c r="K115" s="1">
        <v>1.92103</v>
      </c>
    </row>
    <row r="116">
      <c r="A116" s="1" t="s">
        <v>335</v>
      </c>
      <c r="B116" s="1">
        <v>1.0</v>
      </c>
      <c r="D116" s="1">
        <v>207.90186</v>
      </c>
      <c r="E116" s="1">
        <v>115.0</v>
      </c>
      <c r="J116" s="5">
        <f t="shared" si="1"/>
        <v>0.955977</v>
      </c>
      <c r="K116" s="1">
        <v>3.917279</v>
      </c>
    </row>
    <row r="117">
      <c r="A117" s="1" t="s">
        <v>37</v>
      </c>
      <c r="B117" s="1">
        <v>0.0</v>
      </c>
      <c r="D117" s="1">
        <v>207.982986</v>
      </c>
      <c r="E117" s="1">
        <v>116.0</v>
      </c>
      <c r="J117" s="5">
        <f t="shared" si="1"/>
        <v>0.081126</v>
      </c>
      <c r="K117" s="1">
        <v>1.158791</v>
      </c>
    </row>
    <row r="118">
      <c r="A118" s="1" t="s">
        <v>37</v>
      </c>
      <c r="B118" s="1">
        <v>0.0</v>
      </c>
      <c r="D118" s="1">
        <v>208.027771</v>
      </c>
      <c r="E118" s="1">
        <v>117.0</v>
      </c>
      <c r="J118" s="5">
        <f t="shared" si="1"/>
        <v>0.044785</v>
      </c>
      <c r="K118" s="1">
        <v>0.50758</v>
      </c>
    </row>
    <row r="119">
      <c r="A119" s="1" t="s">
        <v>336</v>
      </c>
      <c r="B119" s="1">
        <v>1.0</v>
      </c>
      <c r="D119" s="1">
        <v>208.056464</v>
      </c>
      <c r="E119" s="1">
        <v>118.0</v>
      </c>
      <c r="J119" s="5">
        <f t="shared" si="1"/>
        <v>0.028693</v>
      </c>
      <c r="K119" s="1">
        <v>6.837242</v>
      </c>
    </row>
    <row r="120">
      <c r="A120" s="1" t="s">
        <v>337</v>
      </c>
      <c r="B120" s="1">
        <v>2.0</v>
      </c>
      <c r="D120" s="1">
        <v>208.407584</v>
      </c>
      <c r="E120" s="1">
        <v>119.0</v>
      </c>
      <c r="J120" s="5">
        <f t="shared" si="1"/>
        <v>0.35112</v>
      </c>
      <c r="K120" s="1">
        <v>4.379759</v>
      </c>
    </row>
    <row r="121">
      <c r="A121" s="1" t="s">
        <v>338</v>
      </c>
      <c r="B121" s="1">
        <v>1.0</v>
      </c>
      <c r="D121" s="1">
        <v>211.506468</v>
      </c>
      <c r="E121" s="1">
        <v>120.0</v>
      </c>
      <c r="J121" s="5">
        <f t="shared" si="1"/>
        <v>3.098884</v>
      </c>
      <c r="K121" s="1">
        <v>0.462389</v>
      </c>
    </row>
    <row r="122">
      <c r="A122" s="1" t="s">
        <v>339</v>
      </c>
      <c r="B122" s="1">
        <v>1.0</v>
      </c>
      <c r="D122" s="1">
        <v>211.71078</v>
      </c>
      <c r="E122" s="1">
        <v>121.0</v>
      </c>
      <c r="J122" s="5">
        <f t="shared" si="1"/>
        <v>0.204312</v>
      </c>
      <c r="K122" s="1">
        <v>2.645648</v>
      </c>
    </row>
    <row r="123">
      <c r="A123" s="1" t="s">
        <v>340</v>
      </c>
      <c r="B123" s="1">
        <v>1.0</v>
      </c>
      <c r="D123" s="1">
        <v>214.682623</v>
      </c>
      <c r="E123" s="1">
        <v>122.0</v>
      </c>
      <c r="J123" s="5">
        <f t="shared" si="1"/>
        <v>2.971843</v>
      </c>
      <c r="K123" s="1">
        <v>2.194527</v>
      </c>
    </row>
    <row r="124">
      <c r="A124" s="1" t="s">
        <v>341</v>
      </c>
      <c r="B124" s="1">
        <v>1.0</v>
      </c>
      <c r="D124" s="1">
        <v>217.145963</v>
      </c>
      <c r="E124" s="1">
        <v>123.0</v>
      </c>
      <c r="J124" s="5">
        <f t="shared" si="1"/>
        <v>2.46334</v>
      </c>
      <c r="K124" s="1">
        <v>5.72975</v>
      </c>
    </row>
    <row r="125">
      <c r="A125" s="1" t="s">
        <v>37</v>
      </c>
      <c r="B125" s="1">
        <v>0.0</v>
      </c>
      <c r="D125" s="1">
        <v>217.571235</v>
      </c>
      <c r="E125" s="1">
        <v>124.0</v>
      </c>
      <c r="J125" s="5">
        <f t="shared" si="1"/>
        <v>0.425272</v>
      </c>
      <c r="K125" s="1">
        <v>7.671491</v>
      </c>
    </row>
    <row r="126">
      <c r="A126" s="1" t="s">
        <v>342</v>
      </c>
      <c r="B126" s="1">
        <v>1.0</v>
      </c>
      <c r="D126" s="1">
        <v>218.057288</v>
      </c>
      <c r="E126" s="1">
        <v>125.0</v>
      </c>
      <c r="J126" s="5">
        <f t="shared" si="1"/>
        <v>0.486053</v>
      </c>
      <c r="K126" s="1">
        <v>1.507544</v>
      </c>
    </row>
    <row r="127">
      <c r="A127" s="1" t="s">
        <v>37</v>
      </c>
      <c r="B127" s="1">
        <v>0.0</v>
      </c>
      <c r="D127" s="1">
        <v>218.70491</v>
      </c>
      <c r="E127" s="1">
        <v>126.0</v>
      </c>
      <c r="J127" s="5">
        <f t="shared" si="1"/>
        <v>0.647622</v>
      </c>
      <c r="K127" s="1">
        <v>4.008334</v>
      </c>
    </row>
    <row r="128">
      <c r="A128" s="1" t="s">
        <v>37</v>
      </c>
      <c r="B128" s="1">
        <v>0.0</v>
      </c>
      <c r="D128" s="1">
        <v>219.610553</v>
      </c>
      <c r="E128" s="1">
        <v>127.0</v>
      </c>
      <c r="J128" s="5">
        <f t="shared" si="1"/>
        <v>0.905643</v>
      </c>
      <c r="K128" s="1">
        <v>3.816535</v>
      </c>
    </row>
    <row r="129">
      <c r="A129" s="1" t="s">
        <v>343</v>
      </c>
      <c r="B129" s="1">
        <v>1.0</v>
      </c>
      <c r="D129" s="1">
        <v>224.955873</v>
      </c>
      <c r="E129" s="1">
        <v>128.0</v>
      </c>
      <c r="J129" s="5">
        <f t="shared" si="1"/>
        <v>5.34532</v>
      </c>
      <c r="K129" s="1">
        <v>1.293476</v>
      </c>
    </row>
    <row r="130">
      <c r="A130" s="1" t="s">
        <v>344</v>
      </c>
      <c r="B130" s="1">
        <v>2.0</v>
      </c>
      <c r="D130" s="1">
        <v>225.915314</v>
      </c>
      <c r="E130" s="1">
        <v>129.0</v>
      </c>
      <c r="J130" s="5">
        <f t="shared" si="1"/>
        <v>0.959441</v>
      </c>
      <c r="K130" s="1">
        <v>5.299206</v>
      </c>
    </row>
    <row r="131">
      <c r="A131" s="1" t="s">
        <v>37</v>
      </c>
      <c r="B131" s="1">
        <v>0.0</v>
      </c>
      <c r="D131" s="1">
        <v>226.66696</v>
      </c>
      <c r="E131" s="1">
        <v>130.0</v>
      </c>
      <c r="J131" s="5">
        <f t="shared" si="1"/>
        <v>0.751646</v>
      </c>
      <c r="K131" s="1">
        <v>3.194697</v>
      </c>
    </row>
    <row r="132">
      <c r="A132" s="1" t="s">
        <v>37</v>
      </c>
      <c r="B132" s="1">
        <v>0.0</v>
      </c>
      <c r="D132" s="1">
        <v>228.141189</v>
      </c>
      <c r="E132" s="1">
        <v>131.0</v>
      </c>
      <c r="J132" s="5">
        <f t="shared" si="1"/>
        <v>1.474229</v>
      </c>
      <c r="K132" s="1">
        <v>3.944203</v>
      </c>
    </row>
    <row r="133">
      <c r="A133" s="1" t="s">
        <v>345</v>
      </c>
      <c r="B133" s="1">
        <v>1.0</v>
      </c>
      <c r="D133" s="1">
        <v>229.744222</v>
      </c>
      <c r="E133" s="1">
        <v>132.0</v>
      </c>
      <c r="J133" s="5">
        <f t="shared" si="1"/>
        <v>1.603033</v>
      </c>
      <c r="K133" s="1">
        <v>3.821595</v>
      </c>
    </row>
    <row r="134">
      <c r="A134" s="1" t="s">
        <v>346</v>
      </c>
      <c r="B134" s="1">
        <v>2.0</v>
      </c>
      <c r="D134" s="1">
        <v>231.048411</v>
      </c>
      <c r="E134" s="1">
        <v>133.0</v>
      </c>
      <c r="J134" s="5">
        <f t="shared" si="1"/>
        <v>1.304189</v>
      </c>
      <c r="K134" s="1">
        <v>2.485486</v>
      </c>
    </row>
    <row r="135">
      <c r="A135" s="1" t="s">
        <v>37</v>
      </c>
      <c r="B135" s="1">
        <v>0.0</v>
      </c>
      <c r="D135" s="1">
        <v>234.375213</v>
      </c>
      <c r="E135" s="1">
        <v>134.0</v>
      </c>
      <c r="J135" s="5">
        <f t="shared" si="1"/>
        <v>3.326802</v>
      </c>
      <c r="K135" s="1">
        <v>0.402803</v>
      </c>
    </row>
    <row r="136">
      <c r="A136" s="1" t="s">
        <v>37</v>
      </c>
      <c r="B136" s="1">
        <v>0.0</v>
      </c>
      <c r="D136" s="1">
        <v>236.254877</v>
      </c>
      <c r="E136" s="1">
        <v>135.0</v>
      </c>
      <c r="J136" s="5">
        <f t="shared" si="1"/>
        <v>1.879664</v>
      </c>
      <c r="K136" s="1">
        <v>6.221762</v>
      </c>
    </row>
    <row r="137">
      <c r="A137" s="1" t="s">
        <v>37</v>
      </c>
      <c r="B137" s="1">
        <v>0.0</v>
      </c>
      <c r="D137" s="1">
        <v>237.38713</v>
      </c>
      <c r="E137" s="1">
        <v>136.0</v>
      </c>
      <c r="J137" s="5">
        <f t="shared" si="1"/>
        <v>1.132253</v>
      </c>
      <c r="K137" s="1">
        <v>2.866452</v>
      </c>
    </row>
    <row r="138">
      <c r="A138" s="1" t="s">
        <v>347</v>
      </c>
      <c r="B138" s="1">
        <v>1.0</v>
      </c>
      <c r="D138" s="1">
        <v>238.755958</v>
      </c>
      <c r="E138" s="1">
        <v>137.0</v>
      </c>
      <c r="J138" s="5">
        <f t="shared" si="1"/>
        <v>1.368828</v>
      </c>
      <c r="K138" s="1">
        <v>4.860399</v>
      </c>
    </row>
    <row r="139">
      <c r="A139" s="1" t="s">
        <v>37</v>
      </c>
      <c r="B139" s="1">
        <v>0.0</v>
      </c>
      <c r="D139" s="1">
        <v>239.197629</v>
      </c>
      <c r="E139" s="1">
        <v>138.0</v>
      </c>
      <c r="J139" s="5">
        <f t="shared" si="1"/>
        <v>0.441671</v>
      </c>
      <c r="K139" s="1">
        <v>2.927222</v>
      </c>
    </row>
    <row r="140">
      <c r="A140" s="1" t="s">
        <v>37</v>
      </c>
      <c r="B140" s="1">
        <v>0.0</v>
      </c>
      <c r="D140" s="1">
        <v>241.517969</v>
      </c>
      <c r="E140" s="1">
        <v>139.0</v>
      </c>
      <c r="J140" s="5">
        <f t="shared" si="1"/>
        <v>2.32034</v>
      </c>
      <c r="K140" s="1">
        <v>5.68556</v>
      </c>
    </row>
    <row r="141">
      <c r="A141" s="1" t="s">
        <v>37</v>
      </c>
      <c r="B141" s="1">
        <v>0.0</v>
      </c>
      <c r="D141" s="1">
        <v>244.256868</v>
      </c>
      <c r="E141" s="1">
        <v>140.0</v>
      </c>
      <c r="J141" s="5">
        <f t="shared" si="1"/>
        <v>2.738899</v>
      </c>
      <c r="K141" s="1">
        <v>6.827897</v>
      </c>
    </row>
    <row r="142">
      <c r="A142" s="1" t="s">
        <v>348</v>
      </c>
      <c r="B142" s="1">
        <v>1.0</v>
      </c>
      <c r="D142" s="1">
        <v>244.742187</v>
      </c>
      <c r="E142" s="1">
        <v>141.0</v>
      </c>
      <c r="J142" s="5">
        <f t="shared" si="1"/>
        <v>0.485319</v>
      </c>
      <c r="K142" s="1">
        <v>2.280088</v>
      </c>
    </row>
    <row r="143">
      <c r="A143" s="1" t="s">
        <v>37</v>
      </c>
      <c r="B143" s="1">
        <v>0.0</v>
      </c>
      <c r="D143" s="1">
        <v>245.408459</v>
      </c>
      <c r="E143" s="1">
        <v>142.0</v>
      </c>
      <c r="J143" s="5">
        <f t="shared" si="1"/>
        <v>0.666272</v>
      </c>
      <c r="K143" s="1">
        <v>4.606518</v>
      </c>
    </row>
    <row r="144">
      <c r="A144" s="1" t="s">
        <v>37</v>
      </c>
      <c r="B144" s="1">
        <v>0.0</v>
      </c>
      <c r="D144" s="1">
        <v>246.216256</v>
      </c>
      <c r="E144" s="1">
        <v>143.0</v>
      </c>
      <c r="J144" s="5">
        <f t="shared" si="1"/>
        <v>0.807797</v>
      </c>
      <c r="K144" s="1">
        <v>2.2651</v>
      </c>
    </row>
    <row r="145">
      <c r="A145" s="1" t="s">
        <v>349</v>
      </c>
      <c r="B145" s="1">
        <v>1.0</v>
      </c>
      <c r="D145" s="1">
        <v>247.191846</v>
      </c>
      <c r="E145" s="1">
        <v>144.0</v>
      </c>
      <c r="J145" s="5">
        <f t="shared" si="1"/>
        <v>0.97559</v>
      </c>
      <c r="K145" s="1">
        <v>2.510054</v>
      </c>
    </row>
    <row r="146">
      <c r="A146" s="1" t="s">
        <v>37</v>
      </c>
      <c r="B146" s="1">
        <v>0.0</v>
      </c>
      <c r="D146" s="1">
        <v>248.558125</v>
      </c>
      <c r="E146" s="1">
        <v>145.0</v>
      </c>
      <c r="J146" s="5">
        <f t="shared" si="1"/>
        <v>1.366279</v>
      </c>
      <c r="K146" s="1">
        <v>6.527138</v>
      </c>
    </row>
    <row r="147">
      <c r="A147" s="1" t="s">
        <v>37</v>
      </c>
      <c r="B147" s="1">
        <v>0.0</v>
      </c>
      <c r="D147" s="1">
        <v>248.99145</v>
      </c>
      <c r="E147" s="1">
        <v>146.0</v>
      </c>
      <c r="J147" s="5">
        <f t="shared" si="1"/>
        <v>0.433325</v>
      </c>
      <c r="K147" s="1">
        <v>0.844352</v>
      </c>
    </row>
    <row r="148">
      <c r="A148" s="1" t="s">
        <v>350</v>
      </c>
      <c r="B148" s="1">
        <v>3.0</v>
      </c>
      <c r="D148" s="1">
        <v>249.366957</v>
      </c>
      <c r="E148" s="1">
        <v>147.0</v>
      </c>
      <c r="J148" s="5">
        <f t="shared" si="1"/>
        <v>0.375507</v>
      </c>
      <c r="K148" s="1">
        <v>4.345783</v>
      </c>
    </row>
    <row r="149">
      <c r="A149" s="1" t="s">
        <v>37</v>
      </c>
      <c r="B149" s="1">
        <v>0.0</v>
      </c>
      <c r="D149" s="1">
        <v>250.200995</v>
      </c>
      <c r="E149" s="1">
        <v>148.0</v>
      </c>
      <c r="J149" s="5">
        <f t="shared" si="1"/>
        <v>0.834038</v>
      </c>
      <c r="K149" s="1">
        <v>1.377223</v>
      </c>
    </row>
    <row r="150">
      <c r="A150" s="1" t="s">
        <v>37</v>
      </c>
      <c r="B150" s="1">
        <v>0.0</v>
      </c>
      <c r="D150" s="1">
        <v>250.472248</v>
      </c>
      <c r="E150" s="1">
        <v>149.0</v>
      </c>
      <c r="J150" s="5">
        <f t="shared" si="1"/>
        <v>0.271253</v>
      </c>
      <c r="K150" s="1">
        <v>6.351647</v>
      </c>
    </row>
    <row r="151">
      <c r="A151" s="1" t="s">
        <v>37</v>
      </c>
      <c r="B151" s="1">
        <v>0.0</v>
      </c>
      <c r="D151" s="1">
        <v>252.465104</v>
      </c>
      <c r="E151" s="1">
        <v>150.0</v>
      </c>
      <c r="J151" s="5">
        <f t="shared" si="1"/>
        <v>1.992856</v>
      </c>
      <c r="K151" s="1">
        <v>6.098251</v>
      </c>
    </row>
    <row r="152">
      <c r="A152" s="1" t="s">
        <v>351</v>
      </c>
      <c r="B152" s="1">
        <v>2.0</v>
      </c>
      <c r="D152" s="1">
        <v>254.581198</v>
      </c>
      <c r="E152" s="1">
        <v>151.0</v>
      </c>
      <c r="J152" s="5">
        <f t="shared" si="1"/>
        <v>2.116094</v>
      </c>
      <c r="K152" s="1">
        <v>2.849435</v>
      </c>
    </row>
    <row r="153">
      <c r="A153" s="1" t="s">
        <v>37</v>
      </c>
      <c r="B153" s="1">
        <v>0.0</v>
      </c>
      <c r="D153" s="1">
        <v>259.634743</v>
      </c>
      <c r="E153" s="1">
        <v>152.0</v>
      </c>
      <c r="J153" s="5">
        <f t="shared" si="1"/>
        <v>5.053545</v>
      </c>
      <c r="K153" s="1">
        <v>8.557746</v>
      </c>
    </row>
    <row r="154">
      <c r="A154" s="1" t="s">
        <v>352</v>
      </c>
      <c r="B154" s="1">
        <v>2.0</v>
      </c>
      <c r="D154" s="1">
        <v>261.722246</v>
      </c>
      <c r="E154" s="1">
        <v>153.0</v>
      </c>
      <c r="J154" s="5">
        <f t="shared" si="1"/>
        <v>2.087503</v>
      </c>
      <c r="K154" s="1">
        <v>3.914565</v>
      </c>
    </row>
    <row r="155">
      <c r="A155" s="1" t="s">
        <v>353</v>
      </c>
      <c r="B155" s="1">
        <v>1.0</v>
      </c>
      <c r="D155" s="1">
        <v>262.17507</v>
      </c>
      <c r="E155" s="1">
        <v>154.0</v>
      </c>
      <c r="J155" s="5">
        <f t="shared" si="1"/>
        <v>0.452824</v>
      </c>
      <c r="K155" s="1">
        <v>2.997722</v>
      </c>
    </row>
    <row r="156">
      <c r="A156" s="1" t="s">
        <v>354</v>
      </c>
      <c r="B156" s="1">
        <v>2.0</v>
      </c>
      <c r="D156" s="1">
        <v>262.964159</v>
      </c>
      <c r="E156" s="1">
        <v>155.0</v>
      </c>
      <c r="J156" s="5">
        <f t="shared" si="1"/>
        <v>0.789089</v>
      </c>
      <c r="K156" s="1">
        <v>1.361223</v>
      </c>
    </row>
    <row r="157">
      <c r="A157" s="1" t="s">
        <v>355</v>
      </c>
      <c r="B157" s="1">
        <v>1.0</v>
      </c>
      <c r="D157" s="1">
        <v>265.377908</v>
      </c>
      <c r="E157" s="1">
        <v>156.0</v>
      </c>
      <c r="J157" s="5">
        <f t="shared" si="1"/>
        <v>2.413749</v>
      </c>
      <c r="K157" s="1">
        <v>7.131422</v>
      </c>
    </row>
    <row r="158">
      <c r="A158" s="1" t="s">
        <v>356</v>
      </c>
      <c r="B158" s="1">
        <v>1.0</v>
      </c>
      <c r="D158" s="1">
        <v>267.170136</v>
      </c>
      <c r="E158" s="1">
        <v>157.0</v>
      </c>
      <c r="J158" s="5">
        <f t="shared" si="1"/>
        <v>1.792228</v>
      </c>
      <c r="K158" s="1">
        <v>4.633875</v>
      </c>
    </row>
    <row r="159">
      <c r="A159" s="1" t="s">
        <v>357</v>
      </c>
      <c r="B159" s="1">
        <v>1.0</v>
      </c>
      <c r="D159" s="1">
        <v>267.283698</v>
      </c>
      <c r="E159" s="1">
        <v>158.0</v>
      </c>
      <c r="J159" s="5">
        <f t="shared" si="1"/>
        <v>0.113562</v>
      </c>
      <c r="K159" s="1">
        <v>3.537317</v>
      </c>
    </row>
    <row r="160">
      <c r="A160" s="1" t="s">
        <v>358</v>
      </c>
      <c r="B160" s="1">
        <v>3.0</v>
      </c>
      <c r="D160" s="1">
        <v>269.848905</v>
      </c>
      <c r="E160" s="1">
        <v>159.0</v>
      </c>
      <c r="J160" s="5">
        <f t="shared" si="1"/>
        <v>2.565207</v>
      </c>
      <c r="K160" s="1">
        <v>2.538977</v>
      </c>
    </row>
    <row r="161">
      <c r="A161" s="1" t="s">
        <v>359</v>
      </c>
      <c r="B161" s="1">
        <v>2.0</v>
      </c>
      <c r="D161" s="1">
        <v>270.192099</v>
      </c>
      <c r="E161" s="1">
        <v>160.0</v>
      </c>
      <c r="J161" s="5">
        <f t="shared" si="1"/>
        <v>0.343194</v>
      </c>
      <c r="K161" s="1">
        <v>5.802626</v>
      </c>
    </row>
    <row r="162">
      <c r="A162" s="1" t="s">
        <v>37</v>
      </c>
      <c r="B162" s="1">
        <v>0.0</v>
      </c>
      <c r="D162" s="1">
        <v>273.234814</v>
      </c>
      <c r="E162" s="1">
        <v>161.0</v>
      </c>
      <c r="J162" s="5">
        <f t="shared" si="1"/>
        <v>3.042715</v>
      </c>
      <c r="K162" s="1">
        <v>1.77714</v>
      </c>
    </row>
    <row r="163">
      <c r="A163" s="1" t="s">
        <v>37</v>
      </c>
      <c r="B163" s="1">
        <v>0.0</v>
      </c>
      <c r="D163" s="1">
        <v>276.781231</v>
      </c>
      <c r="E163" s="1">
        <v>162.0</v>
      </c>
      <c r="J163" s="5">
        <f t="shared" si="1"/>
        <v>3.546417</v>
      </c>
      <c r="K163" s="1">
        <v>5.920392</v>
      </c>
    </row>
    <row r="164">
      <c r="A164" s="1" t="s">
        <v>360</v>
      </c>
      <c r="B164" s="1">
        <v>1.0</v>
      </c>
      <c r="D164" s="1">
        <v>280.14675</v>
      </c>
      <c r="E164" s="1">
        <v>163.0</v>
      </c>
      <c r="J164" s="5">
        <f t="shared" si="1"/>
        <v>3.365519</v>
      </c>
      <c r="K164" s="1">
        <v>1.910002</v>
      </c>
    </row>
    <row r="165">
      <c r="A165" s="1" t="s">
        <v>37</v>
      </c>
      <c r="B165" s="1">
        <v>0.0</v>
      </c>
      <c r="D165" s="1">
        <v>283.151696</v>
      </c>
      <c r="E165" s="1">
        <v>164.0</v>
      </c>
      <c r="J165" s="5">
        <f t="shared" si="1"/>
        <v>3.004946</v>
      </c>
      <c r="K165" s="1">
        <v>1.324841</v>
      </c>
    </row>
    <row r="166">
      <c r="A166" s="1" t="s">
        <v>37</v>
      </c>
      <c r="B166" s="1">
        <v>0.0</v>
      </c>
      <c r="D166" s="1">
        <v>284.09738</v>
      </c>
      <c r="E166" s="1">
        <v>165.0</v>
      </c>
      <c r="J166" s="5">
        <f t="shared" si="1"/>
        <v>0.945684</v>
      </c>
      <c r="K166" s="1">
        <v>5.066117</v>
      </c>
    </row>
    <row r="167">
      <c r="A167" s="1" t="s">
        <v>37</v>
      </c>
      <c r="B167" s="1">
        <v>0.0</v>
      </c>
      <c r="D167" s="1">
        <v>284.240524</v>
      </c>
      <c r="E167" s="1">
        <v>166.0</v>
      </c>
      <c r="J167" s="5">
        <f t="shared" si="1"/>
        <v>0.143144</v>
      </c>
      <c r="K167" s="1">
        <v>6.884653</v>
      </c>
    </row>
    <row r="168">
      <c r="A168" s="1" t="s">
        <v>361</v>
      </c>
      <c r="B168" s="1">
        <v>1.0</v>
      </c>
      <c r="D168" s="1">
        <v>284.413004</v>
      </c>
      <c r="E168" s="1">
        <v>167.0</v>
      </c>
      <c r="J168" s="5">
        <f t="shared" si="1"/>
        <v>0.17248</v>
      </c>
    </row>
    <row r="169">
      <c r="A169" s="1" t="s">
        <v>37</v>
      </c>
      <c r="B169" s="1">
        <v>0.0</v>
      </c>
      <c r="D169" s="1">
        <v>284.933894</v>
      </c>
      <c r="E169" s="1">
        <v>168.0</v>
      </c>
      <c r="J169" s="5">
        <f t="shared" si="1"/>
        <v>0.52089</v>
      </c>
    </row>
    <row r="170">
      <c r="A170" s="1" t="s">
        <v>37</v>
      </c>
      <c r="B170" s="1">
        <v>0.0</v>
      </c>
      <c r="D170" s="1">
        <v>285.5333</v>
      </c>
      <c r="E170" s="1">
        <v>169.0</v>
      </c>
      <c r="J170" s="5">
        <f t="shared" si="1"/>
        <v>0.599406</v>
      </c>
    </row>
    <row r="171">
      <c r="A171" s="1" t="s">
        <v>362</v>
      </c>
      <c r="B171" s="1">
        <v>1.0</v>
      </c>
      <c r="D171" s="1">
        <v>285.822372</v>
      </c>
      <c r="E171" s="1">
        <v>170.0</v>
      </c>
      <c r="J171" s="5">
        <f t="shared" si="1"/>
        <v>0.289072</v>
      </c>
    </row>
    <row r="172">
      <c r="A172" s="1" t="s">
        <v>363</v>
      </c>
      <c r="B172" s="1">
        <v>1.0</v>
      </c>
      <c r="D172" s="1">
        <v>287.414929</v>
      </c>
      <c r="E172" s="1">
        <v>171.0</v>
      </c>
      <c r="J172" s="5">
        <f t="shared" si="1"/>
        <v>1.592557</v>
      </c>
    </row>
    <row r="173">
      <c r="A173" s="1" t="s">
        <v>364</v>
      </c>
      <c r="B173" s="1">
        <v>1.0</v>
      </c>
      <c r="D173" s="1">
        <v>289.384819</v>
      </c>
      <c r="E173" s="1">
        <v>172.0</v>
      </c>
      <c r="J173" s="5">
        <f t="shared" si="1"/>
        <v>1.96989</v>
      </c>
    </row>
    <row r="174">
      <c r="A174" s="1" t="s">
        <v>37</v>
      </c>
      <c r="B174" s="1">
        <v>0.0</v>
      </c>
      <c r="D174" s="1">
        <v>290.347736</v>
      </c>
      <c r="E174" s="1">
        <v>173.0</v>
      </c>
      <c r="J174" s="5">
        <f t="shared" si="1"/>
        <v>0.962917</v>
      </c>
    </row>
    <row r="175">
      <c r="A175" s="1" t="s">
        <v>37</v>
      </c>
      <c r="B175" s="1">
        <v>0.0</v>
      </c>
      <c r="D175" s="1">
        <v>291.714135</v>
      </c>
      <c r="E175" s="1">
        <v>174.0</v>
      </c>
      <c r="J175" s="5">
        <f t="shared" si="1"/>
        <v>1.366399</v>
      </c>
    </row>
    <row r="176">
      <c r="A176" s="1" t="s">
        <v>365</v>
      </c>
      <c r="B176" s="1">
        <v>1.0</v>
      </c>
      <c r="D176" s="1">
        <v>294.547168</v>
      </c>
      <c r="E176" s="1">
        <v>175.0</v>
      </c>
      <c r="J176" s="5">
        <f t="shared" si="1"/>
        <v>2.833033</v>
      </c>
    </row>
    <row r="177">
      <c r="A177" s="1" t="s">
        <v>37</v>
      </c>
      <c r="B177" s="1">
        <v>0.0</v>
      </c>
      <c r="D177" s="1">
        <v>297.056401</v>
      </c>
      <c r="E177" s="1">
        <v>176.0</v>
      </c>
      <c r="J177" s="5">
        <f t="shared" si="1"/>
        <v>2.509233</v>
      </c>
    </row>
    <row r="178">
      <c r="A178" s="1" t="s">
        <v>366</v>
      </c>
      <c r="B178" s="1">
        <v>1.0</v>
      </c>
      <c r="D178" s="1">
        <v>299.331506</v>
      </c>
      <c r="E178" s="1">
        <v>177.0</v>
      </c>
      <c r="J178" s="5">
        <f t="shared" si="1"/>
        <v>2.275105</v>
      </c>
    </row>
    <row r="179">
      <c r="A179" s="1" t="s">
        <v>367</v>
      </c>
      <c r="B179" s="1">
        <v>1.0</v>
      </c>
      <c r="D179" s="1">
        <v>299.533081</v>
      </c>
      <c r="E179" s="1">
        <v>178.0</v>
      </c>
      <c r="J179" s="5">
        <f t="shared" si="1"/>
        <v>0.201575</v>
      </c>
    </row>
    <row r="180">
      <c r="A180" s="1" t="s">
        <v>37</v>
      </c>
      <c r="B180" s="1">
        <v>0.0</v>
      </c>
      <c r="D180" s="1">
        <v>300.089162</v>
      </c>
      <c r="E180" s="1">
        <v>179.0</v>
      </c>
      <c r="J180" s="5">
        <f t="shared" si="1"/>
        <v>0.556081</v>
      </c>
    </row>
    <row r="181">
      <c r="A181" s="1" t="s">
        <v>37</v>
      </c>
      <c r="B181" s="1">
        <v>0.0</v>
      </c>
      <c r="D181" s="1">
        <v>301.316836</v>
      </c>
      <c r="E181" s="1">
        <v>180.0</v>
      </c>
      <c r="J181" s="5">
        <f t="shared" si="1"/>
        <v>1.227674</v>
      </c>
    </row>
    <row r="182">
      <c r="A182" s="1" t="s">
        <v>37</v>
      </c>
      <c r="B182" s="1">
        <v>0.0</v>
      </c>
      <c r="D182" s="1">
        <v>304.157517</v>
      </c>
      <c r="E182" s="1">
        <v>181.0</v>
      </c>
      <c r="J182" s="5">
        <f t="shared" si="1"/>
        <v>2.840681</v>
      </c>
    </row>
    <row r="183">
      <c r="A183" s="1" t="s">
        <v>368</v>
      </c>
      <c r="B183" s="1">
        <v>1.0</v>
      </c>
      <c r="D183" s="1">
        <v>304.988356</v>
      </c>
      <c r="E183" s="1">
        <v>182.0</v>
      </c>
      <c r="J183" s="5">
        <f t="shared" si="1"/>
        <v>0.830839</v>
      </c>
    </row>
    <row r="184">
      <c r="A184" s="1" t="s">
        <v>369</v>
      </c>
      <c r="B184" s="1">
        <v>1.0</v>
      </c>
      <c r="D184" s="1">
        <v>306.997559</v>
      </c>
      <c r="E184" s="1">
        <v>183.0</v>
      </c>
      <c r="J184" s="5">
        <f t="shared" si="1"/>
        <v>2.009203</v>
      </c>
    </row>
    <row r="185">
      <c r="A185" s="1" t="s">
        <v>370</v>
      </c>
      <c r="B185" s="1">
        <v>1.0</v>
      </c>
      <c r="D185" s="1">
        <v>308.596042</v>
      </c>
      <c r="E185" s="1">
        <v>184.0</v>
      </c>
      <c r="J185" s="5">
        <f t="shared" si="1"/>
        <v>1.598483</v>
      </c>
    </row>
    <row r="186">
      <c r="A186" s="1" t="s">
        <v>371</v>
      </c>
      <c r="B186" s="1">
        <v>1.0</v>
      </c>
      <c r="D186" s="1">
        <v>308.72228</v>
      </c>
      <c r="E186" s="1">
        <v>185.0</v>
      </c>
      <c r="J186" s="5">
        <f t="shared" si="1"/>
        <v>0.126238</v>
      </c>
    </row>
    <row r="187">
      <c r="A187" s="1" t="s">
        <v>372</v>
      </c>
      <c r="B187" s="1">
        <v>1.0</v>
      </c>
      <c r="D187" s="1">
        <v>310.338453</v>
      </c>
      <c r="E187" s="1">
        <v>186.0</v>
      </c>
      <c r="J187" s="5">
        <f t="shared" si="1"/>
        <v>1.616173</v>
      </c>
    </row>
    <row r="188">
      <c r="A188" s="1" t="s">
        <v>37</v>
      </c>
      <c r="B188" s="1">
        <v>0.0</v>
      </c>
      <c r="D188" s="1">
        <v>316.007409</v>
      </c>
      <c r="E188" s="1">
        <v>187.0</v>
      </c>
      <c r="J188" s="5">
        <f t="shared" si="1"/>
        <v>5.668956</v>
      </c>
    </row>
    <row r="189">
      <c r="A189" s="1" t="s">
        <v>37</v>
      </c>
      <c r="B189" s="1">
        <v>0.0</v>
      </c>
      <c r="D189" s="1">
        <v>317.198497</v>
      </c>
      <c r="E189" s="1">
        <v>188.0</v>
      </c>
      <c r="J189" s="5">
        <f t="shared" si="1"/>
        <v>1.191088</v>
      </c>
    </row>
    <row r="190">
      <c r="A190" s="1" t="s">
        <v>373</v>
      </c>
      <c r="B190" s="1">
        <v>2.0</v>
      </c>
      <c r="D190" s="1">
        <v>325.076891</v>
      </c>
      <c r="E190" s="1">
        <v>189.0</v>
      </c>
      <c r="J190" s="5">
        <f t="shared" si="1"/>
        <v>7.878394</v>
      </c>
    </row>
    <row r="191">
      <c r="A191" s="1" t="s">
        <v>37</v>
      </c>
      <c r="B191" s="1">
        <v>0.0</v>
      </c>
      <c r="D191" s="1">
        <v>326.26577</v>
      </c>
      <c r="E191" s="1">
        <v>190.0</v>
      </c>
      <c r="J191" s="5">
        <f t="shared" si="1"/>
        <v>1.188879</v>
      </c>
    </row>
    <row r="192">
      <c r="A192" s="1" t="s">
        <v>374</v>
      </c>
      <c r="B192" s="1">
        <v>1.0</v>
      </c>
      <c r="D192" s="1">
        <v>329.180164</v>
      </c>
      <c r="E192" s="1">
        <v>191.0</v>
      </c>
      <c r="J192" s="5">
        <f t="shared" si="1"/>
        <v>2.914394</v>
      </c>
    </row>
    <row r="193">
      <c r="A193" s="1" t="s">
        <v>375</v>
      </c>
      <c r="B193" s="1">
        <v>1.0</v>
      </c>
      <c r="D193" s="1">
        <v>330.071765</v>
      </c>
      <c r="E193" s="1">
        <v>192.0</v>
      </c>
      <c r="J193" s="5">
        <f t="shared" si="1"/>
        <v>0.891601</v>
      </c>
    </row>
    <row r="194">
      <c r="A194" s="1" t="s">
        <v>37</v>
      </c>
      <c r="B194" s="1">
        <v>0.0</v>
      </c>
      <c r="D194" s="1">
        <v>330.897514</v>
      </c>
      <c r="E194" s="1">
        <v>193.0</v>
      </c>
      <c r="J194" s="5">
        <f t="shared" si="1"/>
        <v>0.825749</v>
      </c>
    </row>
    <row r="195">
      <c r="A195" s="1" t="s">
        <v>37</v>
      </c>
      <c r="B195" s="1">
        <v>0.0</v>
      </c>
      <c r="D195" s="1">
        <v>332.87121</v>
      </c>
      <c r="E195" s="1">
        <v>194.0</v>
      </c>
      <c r="J195" s="5">
        <f t="shared" si="1"/>
        <v>1.973696</v>
      </c>
    </row>
    <row r="196">
      <c r="A196" s="1" t="s">
        <v>37</v>
      </c>
      <c r="B196" s="1">
        <v>0.0</v>
      </c>
      <c r="D196" s="1">
        <v>335.518967</v>
      </c>
      <c r="E196" s="1">
        <v>195.0</v>
      </c>
      <c r="J196" s="5">
        <f t="shared" si="1"/>
        <v>2.647757</v>
      </c>
    </row>
    <row r="197">
      <c r="A197" s="1" t="s">
        <v>37</v>
      </c>
      <c r="B197" s="1">
        <v>0.0</v>
      </c>
      <c r="D197" s="1">
        <v>342.688131</v>
      </c>
      <c r="E197" s="1">
        <v>196.0</v>
      </c>
      <c r="J197" s="5">
        <f t="shared" si="1"/>
        <v>7.169164</v>
      </c>
    </row>
    <row r="198">
      <c r="A198" s="1" t="s">
        <v>37</v>
      </c>
      <c r="B198" s="1">
        <v>0.0</v>
      </c>
      <c r="D198" s="1">
        <v>343.516945</v>
      </c>
      <c r="E198" s="1">
        <v>197.0</v>
      </c>
      <c r="J198" s="5">
        <f t="shared" si="1"/>
        <v>0.828814</v>
      </c>
    </row>
    <row r="199">
      <c r="A199" s="1" t="s">
        <v>37</v>
      </c>
      <c r="B199" s="1">
        <v>0.0</v>
      </c>
      <c r="D199" s="1">
        <v>344.852945</v>
      </c>
      <c r="E199" s="1">
        <v>198.0</v>
      </c>
      <c r="J199" s="5">
        <f t="shared" si="1"/>
        <v>1.336</v>
      </c>
    </row>
    <row r="200">
      <c r="A200" s="1" t="s">
        <v>376</v>
      </c>
      <c r="B200" s="1">
        <v>1.0</v>
      </c>
      <c r="D200" s="1">
        <v>346.803579</v>
      </c>
      <c r="E200" s="1">
        <v>199.0</v>
      </c>
      <c r="J200" s="5">
        <f t="shared" si="1"/>
        <v>1.950634</v>
      </c>
    </row>
    <row r="201">
      <c r="A201" s="1" t="s">
        <v>377</v>
      </c>
      <c r="B201" s="1">
        <v>1.0</v>
      </c>
      <c r="D201" s="1">
        <v>349.419962</v>
      </c>
      <c r="E201" s="1">
        <v>200.0</v>
      </c>
      <c r="J201" s="5">
        <f t="shared" si="1"/>
        <v>2.616383</v>
      </c>
    </row>
    <row r="202">
      <c r="A202" s="1" t="s">
        <v>378</v>
      </c>
      <c r="B202" s="1">
        <v>1.0</v>
      </c>
      <c r="D202" s="1">
        <v>355.565991</v>
      </c>
      <c r="E202" s="1">
        <v>201.0</v>
      </c>
      <c r="J202" s="5">
        <f t="shared" si="1"/>
        <v>6.146029</v>
      </c>
    </row>
    <row r="203">
      <c r="A203" s="1" t="s">
        <v>37</v>
      </c>
      <c r="B203" s="1">
        <v>0.0</v>
      </c>
      <c r="D203" s="1">
        <v>358.091296</v>
      </c>
      <c r="E203" s="1">
        <v>202.0</v>
      </c>
      <c r="J203" s="5">
        <f t="shared" si="1"/>
        <v>2.525305</v>
      </c>
    </row>
    <row r="204">
      <c r="A204" s="1" t="s">
        <v>37</v>
      </c>
      <c r="B204" s="1">
        <v>0.0</v>
      </c>
      <c r="D204" s="1">
        <v>358.874915</v>
      </c>
      <c r="E204" s="1">
        <v>203.0</v>
      </c>
      <c r="J204" s="5">
        <f t="shared" si="1"/>
        <v>0.783619</v>
      </c>
    </row>
    <row r="205">
      <c r="A205" s="1" t="s">
        <v>379</v>
      </c>
      <c r="B205" s="1">
        <v>2.0</v>
      </c>
      <c r="D205" s="1">
        <v>359.135741</v>
      </c>
      <c r="E205" s="1">
        <v>204.0</v>
      </c>
      <c r="J205" s="5">
        <f t="shared" si="1"/>
        <v>0.260826</v>
      </c>
    </row>
    <row r="206">
      <c r="A206" s="1" t="s">
        <v>37</v>
      </c>
      <c r="B206" s="1">
        <v>0.0</v>
      </c>
      <c r="D206" s="1">
        <v>359.789643</v>
      </c>
      <c r="E206" s="1">
        <v>205.0</v>
      </c>
      <c r="J206" s="5">
        <f t="shared" si="1"/>
        <v>0.653902</v>
      </c>
    </row>
    <row r="207">
      <c r="A207" s="1" t="s">
        <v>380</v>
      </c>
      <c r="B207" s="1">
        <v>2.0</v>
      </c>
      <c r="D207" s="1">
        <v>360.826577</v>
      </c>
      <c r="E207" s="1">
        <v>206.0</v>
      </c>
      <c r="J207" s="5">
        <f t="shared" si="1"/>
        <v>1.036934</v>
      </c>
    </row>
    <row r="208">
      <c r="A208" s="1" t="s">
        <v>381</v>
      </c>
      <c r="B208" s="1">
        <v>2.0</v>
      </c>
      <c r="D208" s="1">
        <v>361.017881</v>
      </c>
      <c r="E208" s="1">
        <v>207.0</v>
      </c>
      <c r="J208" s="5">
        <f t="shared" si="1"/>
        <v>0.191304</v>
      </c>
    </row>
    <row r="209">
      <c r="A209" s="1" t="s">
        <v>382</v>
      </c>
      <c r="B209" s="1">
        <v>3.0</v>
      </c>
      <c r="D209" s="1">
        <v>365.295481</v>
      </c>
      <c r="E209" s="1">
        <v>208.0</v>
      </c>
      <c r="J209" s="5">
        <f t="shared" si="1"/>
        <v>4.2776</v>
      </c>
    </row>
    <row r="210">
      <c r="A210" s="1" t="s">
        <v>37</v>
      </c>
      <c r="B210" s="1">
        <v>0.0</v>
      </c>
      <c r="D210" s="1">
        <v>367.221122</v>
      </c>
      <c r="E210" s="1">
        <v>209.0</v>
      </c>
      <c r="J210" s="5">
        <f t="shared" si="1"/>
        <v>1.925641</v>
      </c>
    </row>
    <row r="211">
      <c r="A211" s="1" t="s">
        <v>37</v>
      </c>
      <c r="B211" s="1">
        <v>0.0</v>
      </c>
      <c r="D211" s="1">
        <v>367.23934</v>
      </c>
      <c r="E211" s="1">
        <v>210.0</v>
      </c>
      <c r="J211" s="5">
        <f t="shared" si="1"/>
        <v>0.018218</v>
      </c>
    </row>
    <row r="212">
      <c r="A212" s="1" t="s">
        <v>383</v>
      </c>
      <c r="B212" s="1">
        <v>2.0</v>
      </c>
      <c r="D212" s="1">
        <v>367.984784</v>
      </c>
      <c r="E212" s="1">
        <v>211.0</v>
      </c>
      <c r="J212" s="5">
        <f t="shared" si="1"/>
        <v>0.745444</v>
      </c>
    </row>
    <row r="213">
      <c r="A213" s="1" t="s">
        <v>37</v>
      </c>
      <c r="B213" s="1">
        <v>0.0</v>
      </c>
      <c r="D213" s="1">
        <v>371.093294</v>
      </c>
      <c r="E213" s="1">
        <v>212.0</v>
      </c>
      <c r="J213" s="5">
        <f t="shared" si="1"/>
        <v>3.10851</v>
      </c>
    </row>
    <row r="214">
      <c r="A214" s="1" t="s">
        <v>37</v>
      </c>
      <c r="B214" s="1">
        <v>0.0</v>
      </c>
      <c r="D214" s="1">
        <v>372.057452</v>
      </c>
      <c r="E214" s="1">
        <v>213.0</v>
      </c>
      <c r="J214" s="5">
        <f t="shared" si="1"/>
        <v>0.964158</v>
      </c>
    </row>
    <row r="215">
      <c r="A215" s="1" t="s">
        <v>384</v>
      </c>
      <c r="B215" s="1">
        <v>1.0</v>
      </c>
      <c r="D215" s="1">
        <v>374.284457</v>
      </c>
      <c r="E215" s="1">
        <v>214.0</v>
      </c>
      <c r="J215" s="5">
        <f t="shared" si="1"/>
        <v>2.227005</v>
      </c>
    </row>
    <row r="216">
      <c r="A216" s="1" t="s">
        <v>37</v>
      </c>
      <c r="B216" s="1">
        <v>0.0</v>
      </c>
      <c r="D216" s="1">
        <v>374.933494</v>
      </c>
      <c r="E216" s="1">
        <v>215.0</v>
      </c>
      <c r="J216" s="5">
        <f t="shared" si="1"/>
        <v>0.649037</v>
      </c>
    </row>
    <row r="217">
      <c r="A217" s="1" t="s">
        <v>37</v>
      </c>
      <c r="B217" s="1">
        <v>0.0</v>
      </c>
      <c r="D217" s="1">
        <v>375.126309</v>
      </c>
      <c r="E217" s="1">
        <v>216.0</v>
      </c>
      <c r="J217" s="5">
        <f t="shared" si="1"/>
        <v>0.192815</v>
      </c>
    </row>
    <row r="218">
      <c r="A218" s="1" t="s">
        <v>385</v>
      </c>
      <c r="B218" s="1">
        <v>2.0</v>
      </c>
      <c r="D218" s="1">
        <v>376.208375</v>
      </c>
      <c r="E218" s="1">
        <v>217.0</v>
      </c>
      <c r="J218" s="5">
        <f t="shared" si="1"/>
        <v>1.082066</v>
      </c>
    </row>
    <row r="219">
      <c r="A219" s="1" t="s">
        <v>386</v>
      </c>
      <c r="B219" s="1">
        <v>2.0</v>
      </c>
      <c r="D219" s="1">
        <v>378.585823</v>
      </c>
      <c r="E219" s="1">
        <v>218.0</v>
      </c>
      <c r="J219" s="5">
        <f t="shared" si="1"/>
        <v>2.377448</v>
      </c>
    </row>
    <row r="220">
      <c r="A220" s="1" t="s">
        <v>387</v>
      </c>
      <c r="B220" s="1">
        <v>1.0</v>
      </c>
      <c r="D220" s="1">
        <v>381.657882</v>
      </c>
      <c r="E220" s="1">
        <v>219.0</v>
      </c>
      <c r="J220" s="5">
        <f t="shared" si="1"/>
        <v>3.072059</v>
      </c>
    </row>
    <row r="221">
      <c r="A221" s="1" t="s">
        <v>37</v>
      </c>
      <c r="B221" s="1">
        <v>0.0</v>
      </c>
      <c r="D221" s="1">
        <v>382.339426</v>
      </c>
      <c r="E221" s="1">
        <v>220.0</v>
      </c>
      <c r="J221" s="5">
        <f t="shared" si="1"/>
        <v>0.681544</v>
      </c>
    </row>
    <row r="222">
      <c r="A222" s="1" t="s">
        <v>37</v>
      </c>
      <c r="B222" s="1">
        <v>0.0</v>
      </c>
      <c r="D222" s="1">
        <v>382.836463</v>
      </c>
      <c r="E222" s="1">
        <v>221.0</v>
      </c>
      <c r="J222" s="5">
        <f t="shared" si="1"/>
        <v>0.497037</v>
      </c>
    </row>
    <row r="223">
      <c r="A223" s="1" t="s">
        <v>37</v>
      </c>
      <c r="B223" s="1">
        <v>0.0</v>
      </c>
      <c r="D223" s="1">
        <v>386.219172</v>
      </c>
      <c r="E223" s="1">
        <v>222.0</v>
      </c>
      <c r="J223" s="5">
        <f t="shared" si="1"/>
        <v>3.382709</v>
      </c>
    </row>
    <row r="224">
      <c r="A224" s="1" t="s">
        <v>37</v>
      </c>
      <c r="B224" s="1">
        <v>0.0</v>
      </c>
      <c r="D224" s="1">
        <v>388.081811</v>
      </c>
      <c r="E224" s="1">
        <v>223.0</v>
      </c>
      <c r="J224" s="5">
        <f t="shared" si="1"/>
        <v>1.862639</v>
      </c>
    </row>
    <row r="225">
      <c r="A225" s="1" t="s">
        <v>388</v>
      </c>
      <c r="B225" s="1">
        <v>1.0</v>
      </c>
      <c r="D225" s="1">
        <v>388.262521</v>
      </c>
      <c r="E225" s="1">
        <v>224.0</v>
      </c>
      <c r="J225" s="5">
        <f t="shared" si="1"/>
        <v>0.18071</v>
      </c>
    </row>
    <row r="226">
      <c r="A226" s="1" t="s">
        <v>389</v>
      </c>
      <c r="B226" s="1">
        <v>1.0</v>
      </c>
      <c r="D226" s="1">
        <v>390.529094</v>
      </c>
      <c r="E226" s="1">
        <v>225.0</v>
      </c>
      <c r="J226" s="5">
        <f t="shared" si="1"/>
        <v>2.266573</v>
      </c>
    </row>
    <row r="227">
      <c r="A227" s="1" t="s">
        <v>390</v>
      </c>
      <c r="B227" s="1">
        <v>1.0</v>
      </c>
      <c r="D227" s="1">
        <v>391.663062</v>
      </c>
      <c r="E227" s="1">
        <v>226.0</v>
      </c>
      <c r="J227" s="5">
        <f t="shared" si="1"/>
        <v>1.133968</v>
      </c>
    </row>
    <row r="228">
      <c r="A228" s="1" t="s">
        <v>37</v>
      </c>
      <c r="B228" s="1">
        <v>0.0</v>
      </c>
      <c r="D228" s="1">
        <v>392.450124</v>
      </c>
      <c r="E228" s="1">
        <v>227.0</v>
      </c>
      <c r="J228" s="5">
        <f t="shared" si="1"/>
        <v>0.787062</v>
      </c>
    </row>
    <row r="229">
      <c r="A229" s="1" t="s">
        <v>391</v>
      </c>
      <c r="B229" s="1">
        <v>1.0</v>
      </c>
      <c r="D229" s="1">
        <v>394.335352</v>
      </c>
      <c r="E229" s="1">
        <v>228.0</v>
      </c>
      <c r="J229" s="5">
        <f t="shared" si="1"/>
        <v>1.885228</v>
      </c>
    </row>
    <row r="230">
      <c r="A230" s="1" t="s">
        <v>392</v>
      </c>
      <c r="B230" s="1">
        <v>1.0</v>
      </c>
      <c r="D230" s="1">
        <v>396.367403</v>
      </c>
      <c r="E230" s="1">
        <v>229.0</v>
      </c>
      <c r="J230" s="5">
        <f t="shared" si="1"/>
        <v>2.032051</v>
      </c>
    </row>
    <row r="231">
      <c r="A231" s="1" t="s">
        <v>37</v>
      </c>
      <c r="B231" s="1">
        <v>0.0</v>
      </c>
      <c r="D231" s="1">
        <v>397.166442</v>
      </c>
      <c r="E231" s="1">
        <v>230.0</v>
      </c>
      <c r="J231" s="5">
        <f t="shared" si="1"/>
        <v>0.799039</v>
      </c>
    </row>
    <row r="232">
      <c r="A232" s="1" t="s">
        <v>393</v>
      </c>
      <c r="B232" s="1">
        <v>1.0</v>
      </c>
      <c r="D232" s="1">
        <v>397.526194</v>
      </c>
      <c r="E232" s="1">
        <v>231.0</v>
      </c>
      <c r="J232" s="5">
        <f t="shared" si="1"/>
        <v>0.359752</v>
      </c>
    </row>
    <row r="233">
      <c r="A233" s="1" t="s">
        <v>37</v>
      </c>
      <c r="B233" s="1">
        <v>0.0</v>
      </c>
      <c r="D233" s="1">
        <v>397.675752</v>
      </c>
      <c r="E233" s="1">
        <v>232.0</v>
      </c>
      <c r="J233" s="5">
        <f t="shared" si="1"/>
        <v>0.149558</v>
      </c>
    </row>
    <row r="234">
      <c r="A234" s="1" t="s">
        <v>37</v>
      </c>
      <c r="B234" s="1">
        <v>0.0</v>
      </c>
      <c r="D234" s="1">
        <v>398.033774</v>
      </c>
      <c r="E234" s="1">
        <v>233.0</v>
      </c>
      <c r="J234" s="5">
        <f t="shared" si="1"/>
        <v>0.358022</v>
      </c>
    </row>
    <row r="235">
      <c r="A235" s="1" t="s">
        <v>394</v>
      </c>
      <c r="B235" s="1">
        <v>1.0</v>
      </c>
      <c r="D235" s="1">
        <v>404.097318</v>
      </c>
      <c r="E235" s="1">
        <v>234.0</v>
      </c>
      <c r="J235" s="5">
        <f t="shared" si="1"/>
        <v>6.063544</v>
      </c>
    </row>
    <row r="236">
      <c r="A236" s="1" t="s">
        <v>37</v>
      </c>
      <c r="B236" s="1">
        <v>0.0</v>
      </c>
      <c r="D236" s="1">
        <v>404.871016</v>
      </c>
      <c r="E236" s="1">
        <v>235.0</v>
      </c>
      <c r="J236" s="5">
        <f t="shared" si="1"/>
        <v>0.773698</v>
      </c>
    </row>
    <row r="237">
      <c r="A237" s="1" t="s">
        <v>395</v>
      </c>
      <c r="B237" s="1">
        <v>1.0</v>
      </c>
      <c r="D237" s="1">
        <v>405.978903</v>
      </c>
      <c r="E237" s="1">
        <v>236.0</v>
      </c>
      <c r="J237" s="5">
        <f t="shared" si="1"/>
        <v>1.107887</v>
      </c>
    </row>
    <row r="238">
      <c r="A238" s="1" t="s">
        <v>396</v>
      </c>
      <c r="B238" s="1">
        <v>1.0</v>
      </c>
      <c r="D238" s="1">
        <v>409.250775</v>
      </c>
      <c r="E238" s="1">
        <v>237.0</v>
      </c>
      <c r="J238" s="5">
        <f t="shared" si="1"/>
        <v>3.271872</v>
      </c>
    </row>
    <row r="239">
      <c r="A239" s="1" t="s">
        <v>397</v>
      </c>
      <c r="B239" s="1">
        <v>1.0</v>
      </c>
      <c r="D239" s="1">
        <v>409.682587</v>
      </c>
      <c r="E239" s="1">
        <v>238.0</v>
      </c>
      <c r="J239" s="5">
        <f t="shared" si="1"/>
        <v>0.431812</v>
      </c>
    </row>
    <row r="240">
      <c r="A240" s="1" t="s">
        <v>398</v>
      </c>
      <c r="B240" s="1">
        <v>1.0</v>
      </c>
      <c r="D240" s="1">
        <v>409.713164</v>
      </c>
      <c r="E240" s="1">
        <v>239.0</v>
      </c>
      <c r="J240" s="5">
        <f t="shared" si="1"/>
        <v>0.030577</v>
      </c>
    </row>
    <row r="241">
      <c r="A241" s="1" t="s">
        <v>37</v>
      </c>
      <c r="B241" s="1">
        <v>0.0</v>
      </c>
      <c r="D241" s="1">
        <v>411.261051</v>
      </c>
      <c r="E241" s="1">
        <v>240.0</v>
      </c>
      <c r="J241" s="5">
        <f t="shared" si="1"/>
        <v>1.547887</v>
      </c>
    </row>
    <row r="242">
      <c r="A242" s="1" t="s">
        <v>399</v>
      </c>
      <c r="B242" s="1">
        <v>1.0</v>
      </c>
      <c r="D242" s="1">
        <v>412.358812</v>
      </c>
      <c r="E242" s="1">
        <v>241.0</v>
      </c>
      <c r="J242" s="5">
        <f t="shared" si="1"/>
        <v>1.097761</v>
      </c>
    </row>
    <row r="243">
      <c r="A243" s="1" t="s">
        <v>37</v>
      </c>
      <c r="B243" s="1">
        <v>0.0</v>
      </c>
      <c r="D243" s="1">
        <v>414.512021</v>
      </c>
      <c r="E243" s="1">
        <v>242.0</v>
      </c>
      <c r="J243" s="5">
        <f t="shared" si="1"/>
        <v>2.153209</v>
      </c>
    </row>
    <row r="244">
      <c r="A244" s="1" t="s">
        <v>37</v>
      </c>
      <c r="B244" s="1">
        <v>0.0</v>
      </c>
      <c r="D244" s="1">
        <v>414.553339</v>
      </c>
      <c r="E244" s="1">
        <v>243.0</v>
      </c>
      <c r="J244" s="5">
        <f t="shared" si="1"/>
        <v>0.041318</v>
      </c>
    </row>
    <row r="245">
      <c r="A245" s="1" t="s">
        <v>400</v>
      </c>
      <c r="B245" s="1">
        <v>2.0</v>
      </c>
      <c r="D245" s="1">
        <v>419.268907</v>
      </c>
      <c r="E245" s="1">
        <v>244.0</v>
      </c>
      <c r="J245" s="5">
        <f t="shared" si="1"/>
        <v>4.715568</v>
      </c>
    </row>
    <row r="246">
      <c r="A246" s="1" t="s">
        <v>401</v>
      </c>
      <c r="B246" s="1">
        <v>1.0</v>
      </c>
      <c r="D246" s="1">
        <v>420.283089</v>
      </c>
      <c r="E246" s="1">
        <v>245.0</v>
      </c>
      <c r="J246" s="5">
        <f t="shared" si="1"/>
        <v>1.014182</v>
      </c>
    </row>
    <row r="247">
      <c r="A247" s="1" t="s">
        <v>402</v>
      </c>
      <c r="B247" s="1">
        <v>1.0</v>
      </c>
      <c r="D247" s="1">
        <v>422.008654</v>
      </c>
      <c r="E247" s="1">
        <v>246.0</v>
      </c>
      <c r="J247" s="5">
        <f t="shared" si="1"/>
        <v>1.725565</v>
      </c>
    </row>
    <row r="248">
      <c r="A248" s="1" t="s">
        <v>403</v>
      </c>
      <c r="B248" s="1">
        <v>1.0</v>
      </c>
      <c r="D248" s="1">
        <v>427.95458</v>
      </c>
      <c r="E248" s="1">
        <v>247.0</v>
      </c>
      <c r="J248" s="5">
        <f t="shared" si="1"/>
        <v>5.945926</v>
      </c>
    </row>
    <row r="249">
      <c r="A249" s="1" t="s">
        <v>404</v>
      </c>
      <c r="B249" s="1">
        <v>2.0</v>
      </c>
      <c r="D249" s="1">
        <v>429.213272</v>
      </c>
      <c r="E249" s="1">
        <v>248.0</v>
      </c>
      <c r="J249" s="5">
        <f t="shared" si="1"/>
        <v>1.258692</v>
      </c>
    </row>
    <row r="250">
      <c r="A250" s="1" t="s">
        <v>405</v>
      </c>
      <c r="B250" s="1">
        <v>1.0</v>
      </c>
      <c r="D250" s="1">
        <v>429.462124</v>
      </c>
      <c r="E250" s="1">
        <v>249.0</v>
      </c>
      <c r="J250" s="5">
        <f t="shared" si="1"/>
        <v>0.248852</v>
      </c>
    </row>
    <row r="251">
      <c r="A251" s="1" t="s">
        <v>406</v>
      </c>
      <c r="B251" s="1">
        <v>2.0</v>
      </c>
      <c r="D251" s="1">
        <v>430.730316</v>
      </c>
      <c r="E251" s="1">
        <v>250.0</v>
      </c>
      <c r="J251" s="5">
        <f t="shared" si="1"/>
        <v>1.268192</v>
      </c>
    </row>
    <row r="252">
      <c r="A252" s="1" t="s">
        <v>37</v>
      </c>
      <c r="B252" s="1">
        <v>0.0</v>
      </c>
      <c r="D252" s="1">
        <v>433.470458</v>
      </c>
      <c r="E252" s="1">
        <v>251.0</v>
      </c>
      <c r="J252" s="5">
        <f t="shared" si="1"/>
        <v>2.740142</v>
      </c>
    </row>
    <row r="253">
      <c r="A253" s="1" t="s">
        <v>407</v>
      </c>
      <c r="B253" s="1">
        <v>1.0</v>
      </c>
      <c r="D253" s="1">
        <v>435.1753</v>
      </c>
      <c r="E253" s="1">
        <v>252.0</v>
      </c>
      <c r="J253" s="5">
        <f t="shared" si="1"/>
        <v>1.704842</v>
      </c>
    </row>
    <row r="254">
      <c r="A254" s="1" t="s">
        <v>37</v>
      </c>
      <c r="B254" s="1">
        <v>0.0</v>
      </c>
      <c r="D254" s="1">
        <v>437.286993</v>
      </c>
      <c r="E254" s="1">
        <v>253.0</v>
      </c>
      <c r="J254" s="5">
        <f t="shared" si="1"/>
        <v>2.111693</v>
      </c>
    </row>
    <row r="255">
      <c r="A255" s="1" t="s">
        <v>408</v>
      </c>
      <c r="B255" s="1">
        <v>1.0</v>
      </c>
      <c r="D255" s="1">
        <v>438.229742</v>
      </c>
      <c r="E255" s="1">
        <v>254.0</v>
      </c>
      <c r="J255" s="5">
        <f t="shared" si="1"/>
        <v>0.942749</v>
      </c>
    </row>
    <row r="256">
      <c r="A256" s="1" t="s">
        <v>37</v>
      </c>
      <c r="B256" s="1">
        <v>0.0</v>
      </c>
      <c r="D256" s="1">
        <v>438.580469</v>
      </c>
      <c r="E256" s="1">
        <v>255.0</v>
      </c>
      <c r="J256" s="5">
        <f t="shared" si="1"/>
        <v>0.350727</v>
      </c>
    </row>
    <row r="257">
      <c r="A257" s="1" t="s">
        <v>37</v>
      </c>
      <c r="B257" s="1">
        <v>0.0</v>
      </c>
      <c r="D257" s="1">
        <v>443.523469</v>
      </c>
      <c r="E257" s="1">
        <v>256.0</v>
      </c>
      <c r="J257" s="5">
        <f t="shared" si="1"/>
        <v>4.943</v>
      </c>
    </row>
    <row r="258">
      <c r="A258" s="1" t="s">
        <v>37</v>
      </c>
      <c r="B258" s="1">
        <v>0.0</v>
      </c>
      <c r="D258" s="1">
        <v>443.879675</v>
      </c>
      <c r="E258" s="1">
        <v>257.0</v>
      </c>
      <c r="J258" s="5">
        <f t="shared" si="1"/>
        <v>0.356206</v>
      </c>
    </row>
    <row r="259">
      <c r="A259" s="1" t="s">
        <v>37</v>
      </c>
      <c r="B259" s="1">
        <v>0.0</v>
      </c>
      <c r="D259" s="1">
        <v>446.004157</v>
      </c>
      <c r="E259" s="1">
        <v>258.0</v>
      </c>
      <c r="J259" s="5">
        <f t="shared" si="1"/>
        <v>2.124482</v>
      </c>
    </row>
    <row r="260">
      <c r="A260" s="1" t="s">
        <v>409</v>
      </c>
      <c r="B260" s="1">
        <v>1.0</v>
      </c>
      <c r="D260" s="1">
        <v>447.074372</v>
      </c>
      <c r="E260" s="1">
        <v>259.0</v>
      </c>
      <c r="J260" s="5">
        <f t="shared" si="1"/>
        <v>1.070215</v>
      </c>
    </row>
    <row r="261">
      <c r="A261" s="1" t="s">
        <v>37</v>
      </c>
      <c r="B261" s="1">
        <v>0.0</v>
      </c>
      <c r="D261" s="1">
        <v>450.54228</v>
      </c>
      <c r="E261" s="1">
        <v>260.0</v>
      </c>
      <c r="J261" s="5">
        <f t="shared" si="1"/>
        <v>3.467908</v>
      </c>
    </row>
    <row r="262">
      <c r="A262" s="1" t="s">
        <v>410</v>
      </c>
      <c r="B262" s="1">
        <v>1.0</v>
      </c>
      <c r="D262" s="1">
        <v>451.018575</v>
      </c>
      <c r="E262" s="1">
        <v>261.0</v>
      </c>
      <c r="J262" s="5">
        <f t="shared" si="1"/>
        <v>0.476295</v>
      </c>
    </row>
    <row r="263">
      <c r="A263" s="1" t="s">
        <v>411</v>
      </c>
      <c r="B263" s="1">
        <v>2.0</v>
      </c>
      <c r="D263" s="1">
        <v>452.435064</v>
      </c>
      <c r="E263" s="1">
        <v>262.0</v>
      </c>
      <c r="J263" s="5">
        <f t="shared" si="1"/>
        <v>1.416489</v>
      </c>
    </row>
    <row r="264">
      <c r="A264" s="1" t="s">
        <v>37</v>
      </c>
      <c r="B264" s="1">
        <v>0.0</v>
      </c>
      <c r="D264" s="1">
        <v>454.84017</v>
      </c>
      <c r="E264" s="1">
        <v>263.0</v>
      </c>
      <c r="J264" s="5">
        <f t="shared" si="1"/>
        <v>2.405106</v>
      </c>
    </row>
    <row r="265">
      <c r="A265" s="1" t="s">
        <v>37</v>
      </c>
      <c r="B265" s="1">
        <v>0.0</v>
      </c>
      <c r="D265" s="1">
        <v>454.963291</v>
      </c>
      <c r="E265" s="1">
        <v>264.0</v>
      </c>
      <c r="J265" s="5">
        <f t="shared" si="1"/>
        <v>0.123121</v>
      </c>
    </row>
    <row r="266">
      <c r="A266" s="1" t="s">
        <v>412</v>
      </c>
      <c r="B266" s="1">
        <v>1.0</v>
      </c>
      <c r="D266" s="1">
        <v>457.325656</v>
      </c>
      <c r="E266" s="1">
        <v>265.0</v>
      </c>
      <c r="J266" s="5">
        <f t="shared" si="1"/>
        <v>2.362365</v>
      </c>
    </row>
    <row r="267">
      <c r="A267" s="1" t="s">
        <v>37</v>
      </c>
      <c r="B267" s="1">
        <v>0.0</v>
      </c>
      <c r="D267" s="1">
        <v>457.541252</v>
      </c>
      <c r="E267" s="1">
        <v>266.0</v>
      </c>
      <c r="J267" s="5">
        <f t="shared" si="1"/>
        <v>0.215596</v>
      </c>
    </row>
    <row r="268">
      <c r="A268" s="1" t="s">
        <v>413</v>
      </c>
      <c r="B268" s="1">
        <v>2.0</v>
      </c>
      <c r="D268" s="1">
        <v>457.728459</v>
      </c>
      <c r="E268" s="1">
        <v>267.0</v>
      </c>
      <c r="J268" s="5">
        <f t="shared" si="1"/>
        <v>0.187207</v>
      </c>
    </row>
    <row r="269">
      <c r="A269" s="1" t="s">
        <v>37</v>
      </c>
      <c r="B269" s="1">
        <v>0.0</v>
      </c>
      <c r="D269" s="1">
        <v>459.921969</v>
      </c>
      <c r="E269" s="1">
        <v>268.0</v>
      </c>
      <c r="J269" s="5">
        <f t="shared" si="1"/>
        <v>2.19351</v>
      </c>
    </row>
    <row r="270">
      <c r="A270" s="1" t="s">
        <v>414</v>
      </c>
      <c r="B270" s="1">
        <v>1.0</v>
      </c>
      <c r="D270" s="1">
        <v>463.950221</v>
      </c>
      <c r="E270" s="1">
        <v>269.0</v>
      </c>
      <c r="J270" s="5">
        <f t="shared" si="1"/>
        <v>4.028252</v>
      </c>
    </row>
    <row r="271">
      <c r="A271" s="1" t="s">
        <v>415</v>
      </c>
      <c r="B271" s="1">
        <v>1.0</v>
      </c>
      <c r="D271" s="1">
        <v>465.493983</v>
      </c>
      <c r="E271" s="1">
        <v>270.0</v>
      </c>
      <c r="J271" s="5">
        <f t="shared" si="1"/>
        <v>1.543762</v>
      </c>
    </row>
    <row r="272">
      <c r="A272" s="1" t="s">
        <v>37</v>
      </c>
      <c r="B272" s="1">
        <v>0.0</v>
      </c>
      <c r="D272" s="1">
        <v>466.816673</v>
      </c>
      <c r="E272" s="1">
        <v>271.0</v>
      </c>
      <c r="J272" s="5">
        <f t="shared" si="1"/>
        <v>1.32269</v>
      </c>
    </row>
    <row r="273">
      <c r="A273" s="1" t="s">
        <v>37</v>
      </c>
      <c r="B273" s="1">
        <v>0.0</v>
      </c>
      <c r="D273" s="1">
        <v>467.183215</v>
      </c>
      <c r="E273" s="1">
        <v>272.0</v>
      </c>
      <c r="J273" s="5">
        <f t="shared" si="1"/>
        <v>0.366542</v>
      </c>
    </row>
    <row r="274">
      <c r="A274" s="1" t="s">
        <v>416</v>
      </c>
      <c r="B274" s="1">
        <v>1.0</v>
      </c>
      <c r="D274" s="1">
        <v>471.677072</v>
      </c>
      <c r="E274" s="1">
        <v>273.0</v>
      </c>
      <c r="J274" s="5">
        <f t="shared" si="1"/>
        <v>4.493857</v>
      </c>
    </row>
    <row r="275">
      <c r="A275" s="1" t="s">
        <v>37</v>
      </c>
      <c r="B275" s="1">
        <v>0.0</v>
      </c>
      <c r="D275" s="1">
        <v>473.705396</v>
      </c>
      <c r="E275" s="1">
        <v>274.0</v>
      </c>
      <c r="J275" s="5">
        <f t="shared" si="1"/>
        <v>2.028324</v>
      </c>
    </row>
    <row r="276">
      <c r="A276" s="1" t="s">
        <v>37</v>
      </c>
      <c r="B276" s="1">
        <v>0.0</v>
      </c>
      <c r="D276" s="1">
        <v>474.604294</v>
      </c>
      <c r="E276" s="1">
        <v>275.0</v>
      </c>
      <c r="J276" s="5">
        <f t="shared" si="1"/>
        <v>0.898898</v>
      </c>
    </row>
    <row r="277">
      <c r="A277" s="1" t="s">
        <v>417</v>
      </c>
      <c r="B277" s="1">
        <v>1.0</v>
      </c>
      <c r="D277" s="1">
        <v>477.507476</v>
      </c>
      <c r="E277" s="1">
        <v>276.0</v>
      </c>
      <c r="J277" s="5">
        <f t="shared" si="1"/>
        <v>2.903182</v>
      </c>
    </row>
    <row r="278">
      <c r="A278" s="1" t="s">
        <v>37</v>
      </c>
      <c r="B278" s="1">
        <v>0.0</v>
      </c>
      <c r="D278" s="1">
        <v>480.289854</v>
      </c>
      <c r="E278" s="1">
        <v>277.0</v>
      </c>
      <c r="J278" s="5">
        <f t="shared" si="1"/>
        <v>2.782378</v>
      </c>
    </row>
    <row r="279">
      <c r="A279" s="1" t="s">
        <v>37</v>
      </c>
      <c r="B279" s="1">
        <v>0.0</v>
      </c>
      <c r="D279" s="1">
        <v>485.114698</v>
      </c>
      <c r="E279" s="1">
        <v>278.0</v>
      </c>
      <c r="J279" s="5">
        <f t="shared" si="1"/>
        <v>4.824844</v>
      </c>
    </row>
    <row r="280">
      <c r="A280" s="1" t="s">
        <v>37</v>
      </c>
      <c r="B280" s="1">
        <v>0.0</v>
      </c>
      <c r="D280" s="1">
        <v>487.117751</v>
      </c>
      <c r="E280" s="1">
        <v>279.0</v>
      </c>
      <c r="J280" s="5">
        <f t="shared" si="1"/>
        <v>2.003053</v>
      </c>
    </row>
    <row r="281">
      <c r="A281" s="1" t="s">
        <v>418</v>
      </c>
      <c r="B281" s="1">
        <v>1.0</v>
      </c>
      <c r="D281" s="1">
        <v>488.114222</v>
      </c>
      <c r="E281" s="1">
        <v>280.0</v>
      </c>
      <c r="J281" s="5">
        <f t="shared" si="1"/>
        <v>0.996471</v>
      </c>
    </row>
    <row r="282">
      <c r="A282" s="1" t="s">
        <v>37</v>
      </c>
      <c r="B282" s="1">
        <v>0.0</v>
      </c>
      <c r="D282" s="1">
        <v>489.397839</v>
      </c>
      <c r="E282" s="1">
        <v>281.0</v>
      </c>
      <c r="J282" s="5">
        <f t="shared" si="1"/>
        <v>1.283617</v>
      </c>
    </row>
    <row r="283">
      <c r="A283" s="1" t="s">
        <v>37</v>
      </c>
      <c r="B283" s="1">
        <v>0.0</v>
      </c>
      <c r="D283" s="1">
        <v>493.694082</v>
      </c>
      <c r="E283" s="1">
        <v>282.0</v>
      </c>
      <c r="J283" s="5">
        <f t="shared" si="1"/>
        <v>4.296243</v>
      </c>
    </row>
    <row r="284">
      <c r="A284" s="1" t="s">
        <v>419</v>
      </c>
      <c r="B284" s="1">
        <v>1.0</v>
      </c>
      <c r="D284" s="1">
        <v>494.004357</v>
      </c>
      <c r="E284" s="1">
        <v>283.0</v>
      </c>
      <c r="J284" s="5">
        <f t="shared" si="1"/>
        <v>0.310275</v>
      </c>
    </row>
    <row r="285">
      <c r="A285" s="1" t="s">
        <v>420</v>
      </c>
      <c r="B285" s="1">
        <v>4.0</v>
      </c>
      <c r="D285" s="1">
        <v>494.970599</v>
      </c>
      <c r="E285" s="1">
        <v>284.0</v>
      </c>
      <c r="J285" s="5">
        <f t="shared" si="1"/>
        <v>0.966242</v>
      </c>
    </row>
    <row r="286">
      <c r="A286" s="1" t="s">
        <v>421</v>
      </c>
      <c r="B286" s="1">
        <v>2.0</v>
      </c>
      <c r="D286" s="1">
        <v>496.269457</v>
      </c>
      <c r="E286" s="1">
        <v>285.0</v>
      </c>
      <c r="J286" s="5">
        <f t="shared" si="1"/>
        <v>1.298858</v>
      </c>
    </row>
    <row r="287">
      <c r="A287" s="1" t="s">
        <v>37</v>
      </c>
      <c r="B287" s="1">
        <v>0.0</v>
      </c>
      <c r="D287" s="1">
        <v>496.668608</v>
      </c>
      <c r="E287" s="1">
        <v>286.0</v>
      </c>
      <c r="J287" s="5">
        <f t="shared" si="1"/>
        <v>0.399151</v>
      </c>
    </row>
    <row r="288">
      <c r="A288" s="1" t="s">
        <v>422</v>
      </c>
      <c r="B288" s="1">
        <v>1.0</v>
      </c>
      <c r="D288" s="1">
        <v>498.779511</v>
      </c>
      <c r="E288" s="1">
        <v>287.0</v>
      </c>
      <c r="J288" s="5">
        <f t="shared" si="1"/>
        <v>2.110903</v>
      </c>
    </row>
    <row r="289">
      <c r="A289" s="1" t="s">
        <v>37</v>
      </c>
      <c r="B289" s="1">
        <v>0.0</v>
      </c>
      <c r="D289" s="1">
        <v>499.552877</v>
      </c>
      <c r="E289" s="1">
        <v>288.0</v>
      </c>
      <c r="J289" s="5">
        <f t="shared" si="1"/>
        <v>0.773366</v>
      </c>
    </row>
    <row r="290">
      <c r="A290" s="1" t="s">
        <v>423</v>
      </c>
      <c r="B290" s="1">
        <v>1.0</v>
      </c>
      <c r="D290" s="1">
        <v>505.306649</v>
      </c>
      <c r="E290" s="1">
        <v>289.0</v>
      </c>
      <c r="J290" s="5">
        <f t="shared" si="1"/>
        <v>5.753772</v>
      </c>
    </row>
    <row r="291">
      <c r="A291" s="1" t="s">
        <v>424</v>
      </c>
      <c r="B291" s="1">
        <v>1.0</v>
      </c>
      <c r="D291" s="1">
        <v>506.004989</v>
      </c>
      <c r="E291" s="1">
        <v>290.0</v>
      </c>
      <c r="J291" s="5">
        <f t="shared" si="1"/>
        <v>0.69834</v>
      </c>
    </row>
    <row r="292">
      <c r="A292" s="1" t="s">
        <v>425</v>
      </c>
      <c r="B292" s="1">
        <v>1.0</v>
      </c>
      <c r="D292" s="1">
        <v>506.151001</v>
      </c>
      <c r="E292" s="1">
        <v>291.0</v>
      </c>
      <c r="J292" s="5">
        <f t="shared" si="1"/>
        <v>0.146012</v>
      </c>
    </row>
    <row r="293">
      <c r="A293" s="1" t="s">
        <v>37</v>
      </c>
      <c r="B293" s="1">
        <v>0.0</v>
      </c>
      <c r="D293" s="1">
        <v>508.665595</v>
      </c>
      <c r="E293" s="1">
        <v>292.0</v>
      </c>
      <c r="J293" s="5">
        <f t="shared" si="1"/>
        <v>2.514594</v>
      </c>
    </row>
    <row r="294">
      <c r="A294" s="1" t="s">
        <v>37</v>
      </c>
      <c r="B294" s="1">
        <v>0.0</v>
      </c>
      <c r="D294" s="1">
        <v>510.496784</v>
      </c>
      <c r="E294" s="1">
        <v>293.0</v>
      </c>
      <c r="J294" s="5">
        <f t="shared" si="1"/>
        <v>1.831189</v>
      </c>
    </row>
    <row r="295">
      <c r="A295" s="1" t="s">
        <v>426</v>
      </c>
      <c r="B295" s="1">
        <v>1.0</v>
      </c>
      <c r="D295" s="1">
        <v>511.460179</v>
      </c>
      <c r="E295" s="1">
        <v>294.0</v>
      </c>
      <c r="J295" s="5">
        <f t="shared" si="1"/>
        <v>0.963395</v>
      </c>
    </row>
    <row r="296">
      <c r="A296" s="1" t="s">
        <v>37</v>
      </c>
      <c r="B296" s="1">
        <v>0.0</v>
      </c>
      <c r="D296" s="1">
        <v>511.874007</v>
      </c>
      <c r="E296" s="1">
        <v>295.0</v>
      </c>
      <c r="J296" s="5">
        <f t="shared" si="1"/>
        <v>0.413828</v>
      </c>
    </row>
    <row r="297">
      <c r="A297" s="1" t="s">
        <v>37</v>
      </c>
      <c r="B297" s="1">
        <v>0.0</v>
      </c>
      <c r="D297" s="1">
        <v>516.415324</v>
      </c>
      <c r="E297" s="1">
        <v>296.0</v>
      </c>
      <c r="J297" s="5">
        <f t="shared" si="1"/>
        <v>4.541317</v>
      </c>
    </row>
    <row r="298">
      <c r="A298" s="1" t="s">
        <v>427</v>
      </c>
      <c r="B298" s="1">
        <v>1.0</v>
      </c>
      <c r="D298" s="1">
        <v>518.225654</v>
      </c>
      <c r="E298" s="1">
        <v>297.0</v>
      </c>
      <c r="J298" s="5">
        <f t="shared" si="1"/>
        <v>1.81033</v>
      </c>
    </row>
    <row r="299">
      <c r="A299" s="1" t="s">
        <v>37</v>
      </c>
      <c r="B299" s="1">
        <v>0.0</v>
      </c>
      <c r="D299" s="1">
        <v>521.407262</v>
      </c>
      <c r="E299" s="1">
        <v>298.0</v>
      </c>
      <c r="J299" s="5">
        <f t="shared" si="1"/>
        <v>3.181608</v>
      </c>
    </row>
    <row r="300">
      <c r="A300" s="1" t="s">
        <v>428</v>
      </c>
      <c r="B300" s="1">
        <v>2.0</v>
      </c>
      <c r="D300" s="1">
        <v>524.323905</v>
      </c>
      <c r="E300" s="1">
        <v>299.0</v>
      </c>
      <c r="J300" s="5">
        <f t="shared" si="1"/>
        <v>2.916643</v>
      </c>
    </row>
    <row r="301">
      <c r="A301" s="1" t="s">
        <v>429</v>
      </c>
      <c r="B301" s="1">
        <v>1.0</v>
      </c>
      <c r="D301" s="1">
        <v>525.088322</v>
      </c>
      <c r="E301" s="1">
        <v>300.0</v>
      </c>
      <c r="J301" s="5">
        <f t="shared" si="1"/>
        <v>0.764417</v>
      </c>
    </row>
    <row r="302">
      <c r="A302" s="1" t="s">
        <v>430</v>
      </c>
      <c r="B302" s="1">
        <v>1.0</v>
      </c>
      <c r="D302" s="1">
        <v>527.17334</v>
      </c>
      <c r="E302" s="1">
        <v>301.0</v>
      </c>
      <c r="J302" s="5">
        <f t="shared" si="1"/>
        <v>2.085018</v>
      </c>
    </row>
    <row r="303">
      <c r="A303" s="1" t="s">
        <v>37</v>
      </c>
      <c r="B303" s="1">
        <v>0.0</v>
      </c>
      <c r="D303" s="1">
        <v>528.362574</v>
      </c>
      <c r="E303" s="1">
        <v>302.0</v>
      </c>
      <c r="J303" s="5">
        <f t="shared" si="1"/>
        <v>1.189234</v>
      </c>
    </row>
    <row r="304">
      <c r="A304" s="1" t="s">
        <v>37</v>
      </c>
      <c r="B304" s="1">
        <v>0.0</v>
      </c>
      <c r="D304" s="1">
        <v>535.731086</v>
      </c>
      <c r="E304" s="1">
        <v>303.0</v>
      </c>
      <c r="J304" s="5">
        <f t="shared" si="1"/>
        <v>7.368512</v>
      </c>
    </row>
    <row r="305">
      <c r="A305" s="1" t="s">
        <v>431</v>
      </c>
      <c r="B305" s="1">
        <v>2.0</v>
      </c>
      <c r="D305" s="1">
        <v>537.151451</v>
      </c>
      <c r="E305" s="1">
        <v>304.0</v>
      </c>
      <c r="J305" s="5">
        <f t="shared" si="1"/>
        <v>1.420365</v>
      </c>
    </row>
    <row r="306">
      <c r="A306" s="1" t="s">
        <v>37</v>
      </c>
      <c r="B306" s="1">
        <v>0.0</v>
      </c>
      <c r="D306" s="1">
        <v>539.645651</v>
      </c>
      <c r="E306" s="1">
        <v>305.0</v>
      </c>
      <c r="J306" s="5">
        <f t="shared" si="1"/>
        <v>2.4942</v>
      </c>
    </row>
    <row r="307">
      <c r="A307" s="1" t="s">
        <v>432</v>
      </c>
      <c r="B307" s="1">
        <v>1.0</v>
      </c>
      <c r="D307" s="1">
        <v>542.174112</v>
      </c>
      <c r="E307" s="1">
        <v>306.0</v>
      </c>
      <c r="J307" s="5">
        <f t="shared" si="1"/>
        <v>2.528461</v>
      </c>
    </row>
    <row r="308">
      <c r="A308" s="1" t="s">
        <v>37</v>
      </c>
      <c r="B308" s="1">
        <v>0.0</v>
      </c>
      <c r="D308" s="1">
        <v>542.643373</v>
      </c>
      <c r="E308" s="1">
        <v>307.0</v>
      </c>
      <c r="J308" s="5">
        <f t="shared" si="1"/>
        <v>0.469261</v>
      </c>
    </row>
    <row r="309">
      <c r="A309" s="1" t="s">
        <v>433</v>
      </c>
      <c r="B309" s="1">
        <v>2.0</v>
      </c>
      <c r="D309" s="1">
        <v>542.669543</v>
      </c>
      <c r="E309" s="1">
        <v>308.0</v>
      </c>
      <c r="J309" s="5">
        <f t="shared" si="1"/>
        <v>0.02617</v>
      </c>
    </row>
    <row r="310">
      <c r="A310" s="1" t="s">
        <v>37</v>
      </c>
      <c r="B310" s="1">
        <v>0.0</v>
      </c>
      <c r="D310" s="1">
        <v>544.004596</v>
      </c>
      <c r="E310" s="1">
        <v>309.0</v>
      </c>
      <c r="J310" s="5">
        <f t="shared" si="1"/>
        <v>1.335053</v>
      </c>
    </row>
    <row r="311">
      <c r="A311" s="1" t="s">
        <v>434</v>
      </c>
      <c r="B311" s="1">
        <v>1.0</v>
      </c>
      <c r="D311" s="1">
        <v>550.760573</v>
      </c>
      <c r="E311" s="1">
        <v>310.0</v>
      </c>
      <c r="J311" s="5">
        <f t="shared" si="1"/>
        <v>6.755977</v>
      </c>
    </row>
    <row r="312">
      <c r="A312" s="1" t="s">
        <v>37</v>
      </c>
      <c r="B312" s="1">
        <v>0.0</v>
      </c>
      <c r="D312" s="1">
        <v>551.136018</v>
      </c>
      <c r="E312" s="1">
        <v>311.0</v>
      </c>
      <c r="J312" s="5">
        <f t="shared" si="1"/>
        <v>0.375445</v>
      </c>
    </row>
    <row r="313">
      <c r="A313" s="1" t="s">
        <v>37</v>
      </c>
      <c r="B313" s="1">
        <v>0.0</v>
      </c>
      <c r="D313" s="1">
        <v>555.509445</v>
      </c>
      <c r="E313" s="1">
        <v>312.0</v>
      </c>
      <c r="J313" s="5">
        <f t="shared" si="1"/>
        <v>4.373427</v>
      </c>
    </row>
    <row r="314">
      <c r="A314" s="1" t="s">
        <v>37</v>
      </c>
      <c r="B314" s="1">
        <v>0.0</v>
      </c>
      <c r="D314" s="1">
        <v>555.769893</v>
      </c>
      <c r="E314" s="1">
        <v>313.0</v>
      </c>
      <c r="J314" s="5">
        <f t="shared" si="1"/>
        <v>0.260448</v>
      </c>
    </row>
    <row r="315">
      <c r="A315" s="1" t="s">
        <v>37</v>
      </c>
      <c r="B315" s="1">
        <v>0.0</v>
      </c>
      <c r="D315" s="1">
        <v>558.012133</v>
      </c>
      <c r="E315" s="1">
        <v>314.0</v>
      </c>
      <c r="J315" s="5">
        <f t="shared" si="1"/>
        <v>2.24224</v>
      </c>
    </row>
    <row r="316">
      <c r="A316" s="1" t="s">
        <v>37</v>
      </c>
      <c r="B316" s="1">
        <v>0.0</v>
      </c>
      <c r="D316" s="1">
        <v>559.30721</v>
      </c>
      <c r="E316" s="1">
        <v>315.0</v>
      </c>
      <c r="J316" s="5">
        <f t="shared" si="1"/>
        <v>1.295077</v>
      </c>
    </row>
    <row r="317">
      <c r="A317" s="1" t="s">
        <v>435</v>
      </c>
      <c r="B317" s="1">
        <v>1.0</v>
      </c>
      <c r="D317" s="1">
        <v>561.012378</v>
      </c>
      <c r="E317" s="1">
        <v>316.0</v>
      </c>
      <c r="J317" s="5">
        <f t="shared" si="1"/>
        <v>1.705168</v>
      </c>
    </row>
    <row r="318">
      <c r="A318" s="1" t="s">
        <v>436</v>
      </c>
      <c r="B318" s="1">
        <v>1.0</v>
      </c>
      <c r="D318" s="1">
        <v>561.846187</v>
      </c>
      <c r="E318" s="1">
        <v>317.0</v>
      </c>
      <c r="J318" s="5">
        <f t="shared" si="1"/>
        <v>0.833809</v>
      </c>
    </row>
    <row r="319">
      <c r="A319" s="1" t="s">
        <v>37</v>
      </c>
      <c r="B319" s="1">
        <v>0.0</v>
      </c>
      <c r="D319" s="1">
        <v>563.266194</v>
      </c>
      <c r="E319" s="1">
        <v>318.0</v>
      </c>
      <c r="J319" s="5">
        <f t="shared" si="1"/>
        <v>1.420007</v>
      </c>
    </row>
    <row r="320">
      <c r="A320" s="1" t="s">
        <v>37</v>
      </c>
      <c r="B320" s="1">
        <v>0.0</v>
      </c>
      <c r="D320" s="1">
        <v>567.648813</v>
      </c>
      <c r="E320" s="1">
        <v>319.0</v>
      </c>
      <c r="J320" s="5">
        <f t="shared" si="1"/>
        <v>4.382619</v>
      </c>
    </row>
    <row r="321">
      <c r="A321" s="1" t="s">
        <v>37</v>
      </c>
      <c r="B321" s="1">
        <v>0.0</v>
      </c>
      <c r="D321" s="1">
        <v>567.764216</v>
      </c>
      <c r="E321" s="1">
        <v>320.0</v>
      </c>
      <c r="J321" s="5">
        <f t="shared" si="1"/>
        <v>0.115403</v>
      </c>
    </row>
    <row r="322">
      <c r="A322" s="1" t="s">
        <v>37</v>
      </c>
      <c r="B322" s="1">
        <v>0.0</v>
      </c>
      <c r="D322" s="1">
        <v>569.425953</v>
      </c>
      <c r="E322" s="1">
        <v>321.0</v>
      </c>
      <c r="J322" s="5">
        <f t="shared" si="1"/>
        <v>1.661737</v>
      </c>
    </row>
    <row r="323">
      <c r="A323" s="1" t="s">
        <v>37</v>
      </c>
      <c r="B323" s="1">
        <v>0.0</v>
      </c>
      <c r="D323" s="1">
        <v>570.279109</v>
      </c>
      <c r="E323" s="1">
        <v>322.0</v>
      </c>
      <c r="J323" s="5">
        <f t="shared" si="1"/>
        <v>0.853156</v>
      </c>
    </row>
    <row r="324">
      <c r="A324" s="1" t="s">
        <v>37</v>
      </c>
      <c r="B324" s="1">
        <v>0.0</v>
      </c>
      <c r="D324" s="1">
        <v>575.346345</v>
      </c>
      <c r="E324" s="1">
        <v>323.0</v>
      </c>
      <c r="J324" s="5">
        <f t="shared" si="1"/>
        <v>5.067236</v>
      </c>
    </row>
    <row r="325">
      <c r="A325" s="1" t="s">
        <v>37</v>
      </c>
      <c r="B325" s="1">
        <v>0.0</v>
      </c>
      <c r="D325" s="1">
        <v>576.11745</v>
      </c>
      <c r="E325" s="1">
        <v>324.0</v>
      </c>
      <c r="J325" s="5">
        <f t="shared" si="1"/>
        <v>0.771105</v>
      </c>
    </row>
    <row r="326">
      <c r="A326" s="1" t="s">
        <v>437</v>
      </c>
      <c r="B326" s="1">
        <v>1.0</v>
      </c>
      <c r="D326" s="1">
        <v>577.256347</v>
      </c>
      <c r="E326" s="1">
        <v>325.0</v>
      </c>
      <c r="J326" s="5">
        <f t="shared" si="1"/>
        <v>1.138897</v>
      </c>
    </row>
    <row r="327">
      <c r="A327" s="1" t="s">
        <v>438</v>
      </c>
      <c r="B327" s="1">
        <v>1.0</v>
      </c>
      <c r="D327" s="1">
        <v>578.076027</v>
      </c>
      <c r="E327" s="1">
        <v>326.0</v>
      </c>
      <c r="J327" s="5">
        <f t="shared" si="1"/>
        <v>0.81968</v>
      </c>
    </row>
    <row r="328">
      <c r="A328" s="1" t="s">
        <v>37</v>
      </c>
      <c r="B328" s="1">
        <v>0.0</v>
      </c>
      <c r="D328" s="1">
        <v>578.581188</v>
      </c>
      <c r="E328" s="1">
        <v>327.0</v>
      </c>
      <c r="J328" s="5">
        <f t="shared" si="1"/>
        <v>0.505161</v>
      </c>
    </row>
    <row r="329">
      <c r="A329" s="1" t="s">
        <v>37</v>
      </c>
      <c r="B329" s="1">
        <v>0.0</v>
      </c>
      <c r="D329" s="1">
        <v>579.503457</v>
      </c>
      <c r="E329" s="1">
        <v>328.0</v>
      </c>
      <c r="J329" s="5">
        <f t="shared" si="1"/>
        <v>0.922269</v>
      </c>
    </row>
    <row r="330">
      <c r="A330" s="1" t="s">
        <v>439</v>
      </c>
      <c r="B330" s="1">
        <v>1.0</v>
      </c>
      <c r="D330" s="1">
        <v>583.647305</v>
      </c>
      <c r="E330" s="1">
        <v>329.0</v>
      </c>
      <c r="J330" s="5">
        <f t="shared" si="1"/>
        <v>4.143848</v>
      </c>
    </row>
    <row r="331">
      <c r="A331" s="1" t="s">
        <v>440</v>
      </c>
      <c r="B331" s="1">
        <v>2.0</v>
      </c>
      <c r="D331" s="1">
        <v>583.687175</v>
      </c>
      <c r="E331" s="1">
        <v>330.0</v>
      </c>
      <c r="J331" s="5">
        <f t="shared" si="1"/>
        <v>0.03987</v>
      </c>
    </row>
    <row r="332">
      <c r="A332" s="1" t="s">
        <v>37</v>
      </c>
      <c r="B332" s="1">
        <v>0.0</v>
      </c>
      <c r="D332" s="1">
        <v>590.531958</v>
      </c>
      <c r="E332" s="1">
        <v>331.0</v>
      </c>
      <c r="J332" s="5">
        <f t="shared" si="1"/>
        <v>6.844783</v>
      </c>
    </row>
    <row r="333">
      <c r="A333" s="1" t="s">
        <v>441</v>
      </c>
      <c r="B333" s="1">
        <v>1.0</v>
      </c>
      <c r="D333" s="1">
        <v>591.007921</v>
      </c>
      <c r="E333" s="1">
        <v>332.0</v>
      </c>
      <c r="J333" s="5">
        <f t="shared" si="1"/>
        <v>0.475963</v>
      </c>
    </row>
    <row r="334">
      <c r="A334" s="1" t="s">
        <v>37</v>
      </c>
      <c r="B334" s="1">
        <v>0.0</v>
      </c>
      <c r="D334" s="1"/>
      <c r="E334" s="1"/>
    </row>
    <row r="335">
      <c r="A335" s="1" t="s">
        <v>37</v>
      </c>
      <c r="B335" s="1">
        <v>0.0</v>
      </c>
      <c r="D335" s="1"/>
      <c r="E335" s="1"/>
    </row>
    <row r="336">
      <c r="A336" s="1" t="s">
        <v>442</v>
      </c>
      <c r="B336" s="1">
        <v>1.0</v>
      </c>
      <c r="D336" s="1"/>
      <c r="E336" s="1"/>
    </row>
    <row r="337">
      <c r="A337" s="1" t="s">
        <v>37</v>
      </c>
      <c r="B337" s="1">
        <v>0.0</v>
      </c>
      <c r="D337" s="1"/>
      <c r="E337" s="1"/>
    </row>
    <row r="338">
      <c r="A338" s="1" t="s">
        <v>37</v>
      </c>
      <c r="B338" s="1">
        <v>0.0</v>
      </c>
      <c r="D338" s="1"/>
      <c r="E338" s="1"/>
    </row>
    <row r="339">
      <c r="A339" s="1" t="s">
        <v>37</v>
      </c>
      <c r="B339" s="1">
        <v>0.0</v>
      </c>
      <c r="D339" s="1"/>
      <c r="E339" s="1"/>
    </row>
    <row r="340">
      <c r="A340" s="1" t="s">
        <v>37</v>
      </c>
      <c r="B340" s="1">
        <v>0.0</v>
      </c>
      <c r="D340" s="1"/>
      <c r="E340" s="1"/>
    </row>
    <row r="341">
      <c r="A341" s="1" t="s">
        <v>37</v>
      </c>
      <c r="B341" s="1">
        <v>0.0</v>
      </c>
      <c r="D341" s="1"/>
      <c r="E341" s="1"/>
    </row>
    <row r="342">
      <c r="A342" s="1" t="s">
        <v>37</v>
      </c>
      <c r="B342" s="1">
        <v>0.0</v>
      </c>
      <c r="D342" s="1"/>
      <c r="E342" s="1"/>
    </row>
    <row r="343">
      <c r="A343" s="1" t="s">
        <v>443</v>
      </c>
      <c r="B343" s="1">
        <v>1.0</v>
      </c>
      <c r="D343" s="1"/>
      <c r="E343" s="1"/>
    </row>
    <row r="344">
      <c r="A344" s="1" t="s">
        <v>444</v>
      </c>
      <c r="B344" s="1">
        <v>1.0</v>
      </c>
      <c r="D344" s="1"/>
      <c r="E344" s="1"/>
    </row>
    <row r="345">
      <c r="A345" s="1" t="s">
        <v>445</v>
      </c>
      <c r="B345" s="1">
        <v>1.0</v>
      </c>
      <c r="D345" s="1"/>
      <c r="E345" s="1"/>
    </row>
    <row r="346">
      <c r="A346" s="1" t="s">
        <v>37</v>
      </c>
      <c r="B346" s="1">
        <v>0.0</v>
      </c>
      <c r="D346" s="1"/>
      <c r="E346" s="1"/>
    </row>
    <row r="347">
      <c r="A347" s="1" t="s">
        <v>446</v>
      </c>
      <c r="B347" s="1">
        <v>1.0</v>
      </c>
      <c r="D347" s="1"/>
      <c r="E347" s="1"/>
    </row>
    <row r="348">
      <c r="A348" s="1" t="s">
        <v>37</v>
      </c>
      <c r="B348" s="1">
        <v>0.0</v>
      </c>
      <c r="D348" s="1"/>
      <c r="E348" s="1"/>
    </row>
    <row r="349">
      <c r="A349" s="1" t="s">
        <v>37</v>
      </c>
      <c r="B349" s="1">
        <v>0.0</v>
      </c>
      <c r="D349" s="1"/>
      <c r="E349" s="1"/>
    </row>
    <row r="350">
      <c r="A350" s="1" t="s">
        <v>447</v>
      </c>
      <c r="B350" s="1">
        <v>1.0</v>
      </c>
      <c r="D350" s="1"/>
      <c r="E350" s="1"/>
    </row>
    <row r="351">
      <c r="A351" s="1" t="s">
        <v>37</v>
      </c>
      <c r="B351" s="1">
        <v>0.0</v>
      </c>
      <c r="D351" s="1"/>
      <c r="E351" s="1"/>
    </row>
    <row r="352">
      <c r="A352" s="1" t="s">
        <v>37</v>
      </c>
      <c r="B352" s="1">
        <v>0.0</v>
      </c>
      <c r="D352" s="1"/>
      <c r="E352" s="1"/>
    </row>
    <row r="353">
      <c r="A353" s="1" t="s">
        <v>37</v>
      </c>
      <c r="B353" s="1">
        <v>0.0</v>
      </c>
      <c r="D353" s="1"/>
      <c r="E353" s="1"/>
    </row>
    <row r="354">
      <c r="A354" s="1" t="s">
        <v>37</v>
      </c>
      <c r="B354" s="1">
        <v>0.0</v>
      </c>
      <c r="D354" s="1"/>
      <c r="E354" s="1"/>
    </row>
    <row r="355">
      <c r="A355" s="1" t="s">
        <v>37</v>
      </c>
      <c r="B355" s="1">
        <v>0.0</v>
      </c>
      <c r="D355" s="1"/>
      <c r="E355" s="1"/>
    </row>
    <row r="356">
      <c r="A356" s="1" t="s">
        <v>448</v>
      </c>
      <c r="B356" s="1">
        <v>1.0</v>
      </c>
      <c r="D356" s="1"/>
      <c r="E356" s="1"/>
    </row>
    <row r="357">
      <c r="A357" s="1" t="s">
        <v>37</v>
      </c>
      <c r="B357" s="1">
        <v>0.0</v>
      </c>
      <c r="D357" s="1"/>
      <c r="E357" s="1"/>
    </row>
    <row r="358">
      <c r="A358" s="1" t="s">
        <v>37</v>
      </c>
      <c r="B358" s="1">
        <v>0.0</v>
      </c>
      <c r="D358" s="1"/>
      <c r="E358" s="1"/>
    </row>
    <row r="359">
      <c r="A359" s="1" t="s">
        <v>449</v>
      </c>
      <c r="B359" s="1">
        <v>2.0</v>
      </c>
      <c r="D359" s="1"/>
      <c r="E359" s="1"/>
    </row>
    <row r="360">
      <c r="A360" s="1" t="s">
        <v>450</v>
      </c>
      <c r="B360" s="1">
        <v>2.0</v>
      </c>
      <c r="D360" s="1"/>
      <c r="E360" s="1"/>
    </row>
    <row r="361">
      <c r="A361" s="1" t="s">
        <v>451</v>
      </c>
      <c r="B361" s="1">
        <v>1.0</v>
      </c>
      <c r="D361" s="1"/>
      <c r="E361" s="1"/>
    </row>
    <row r="362">
      <c r="A362" s="1" t="s">
        <v>452</v>
      </c>
      <c r="B362" s="1">
        <v>1.0</v>
      </c>
      <c r="D362" s="1"/>
      <c r="E362" s="1"/>
    </row>
    <row r="363">
      <c r="A363" s="1" t="s">
        <v>37</v>
      </c>
      <c r="B363" s="1">
        <v>0.0</v>
      </c>
      <c r="D363" s="1"/>
      <c r="E363" s="1"/>
    </row>
    <row r="364">
      <c r="A364" s="1" t="s">
        <v>37</v>
      </c>
      <c r="B364" s="1">
        <v>0.0</v>
      </c>
      <c r="D364" s="1"/>
      <c r="E364" s="1"/>
    </row>
    <row r="365">
      <c r="A365" s="1" t="s">
        <v>37</v>
      </c>
      <c r="B365" s="1">
        <v>0.0</v>
      </c>
      <c r="D365" s="1"/>
      <c r="E365" s="1"/>
    </row>
    <row r="366">
      <c r="A366" s="1" t="s">
        <v>453</v>
      </c>
      <c r="B366" s="1">
        <v>1.0</v>
      </c>
    </row>
    <row r="367">
      <c r="A367" s="1" t="s">
        <v>37</v>
      </c>
      <c r="B367" s="1">
        <v>0.0</v>
      </c>
    </row>
    <row r="368">
      <c r="A368" s="1" t="s">
        <v>454</v>
      </c>
      <c r="B368" s="1">
        <v>3.0</v>
      </c>
    </row>
    <row r="369">
      <c r="A369" s="1" t="s">
        <v>37</v>
      </c>
      <c r="B369" s="1">
        <v>0.0</v>
      </c>
    </row>
    <row r="370">
      <c r="A370" s="1" t="s">
        <v>37</v>
      </c>
      <c r="B370" s="1">
        <v>0.0</v>
      </c>
    </row>
    <row r="371">
      <c r="A371" s="1" t="s">
        <v>37</v>
      </c>
      <c r="B371" s="1">
        <v>0.0</v>
      </c>
    </row>
    <row r="372">
      <c r="A372" s="1" t="s">
        <v>455</v>
      </c>
      <c r="B372" s="1">
        <v>1.0</v>
      </c>
    </row>
    <row r="373">
      <c r="A373" s="1" t="s">
        <v>456</v>
      </c>
      <c r="B373" s="1">
        <v>1.0</v>
      </c>
    </row>
    <row r="374">
      <c r="A374" s="1" t="s">
        <v>37</v>
      </c>
      <c r="B374" s="1">
        <v>0.0</v>
      </c>
    </row>
    <row r="375">
      <c r="A375" s="1" t="s">
        <v>457</v>
      </c>
      <c r="B375" s="1">
        <v>2.0</v>
      </c>
    </row>
    <row r="376">
      <c r="A376" s="1" t="s">
        <v>458</v>
      </c>
      <c r="B376" s="1">
        <v>1.0</v>
      </c>
    </row>
    <row r="377">
      <c r="A377" s="1" t="s">
        <v>459</v>
      </c>
      <c r="B377" s="1">
        <v>1.0</v>
      </c>
    </row>
    <row r="378">
      <c r="A378" s="1" t="s">
        <v>37</v>
      </c>
      <c r="B378" s="1">
        <v>0.0</v>
      </c>
    </row>
    <row r="379">
      <c r="A379" s="1" t="s">
        <v>460</v>
      </c>
      <c r="B379" s="1">
        <v>1.0</v>
      </c>
    </row>
    <row r="380">
      <c r="A380" s="1" t="s">
        <v>37</v>
      </c>
      <c r="B380" s="1">
        <v>0.0</v>
      </c>
    </row>
    <row r="381">
      <c r="A381" s="1" t="s">
        <v>37</v>
      </c>
      <c r="B381" s="1">
        <v>0.0</v>
      </c>
    </row>
    <row r="382">
      <c r="A382" s="1" t="s">
        <v>461</v>
      </c>
      <c r="B382" s="1">
        <v>1.0</v>
      </c>
    </row>
    <row r="383">
      <c r="A383" s="1" t="s">
        <v>462</v>
      </c>
      <c r="B383" s="1">
        <v>2.0</v>
      </c>
    </row>
    <row r="384">
      <c r="A384" s="1" t="s">
        <v>37</v>
      </c>
      <c r="B384" s="1">
        <v>0.0</v>
      </c>
    </row>
    <row r="385">
      <c r="A385" s="1" t="s">
        <v>37</v>
      </c>
      <c r="B385" s="1">
        <v>0.0</v>
      </c>
    </row>
    <row r="386">
      <c r="A386" s="1" t="s">
        <v>37</v>
      </c>
      <c r="B386" s="1">
        <v>0.0</v>
      </c>
    </row>
    <row r="387">
      <c r="A387" s="1" t="s">
        <v>463</v>
      </c>
      <c r="B387" s="1">
        <v>1.0</v>
      </c>
    </row>
    <row r="388">
      <c r="A388" s="1" t="s">
        <v>37</v>
      </c>
      <c r="B388" s="1">
        <v>0.0</v>
      </c>
    </row>
    <row r="389">
      <c r="A389" s="1" t="s">
        <v>464</v>
      </c>
      <c r="B389" s="1">
        <v>2.0</v>
      </c>
    </row>
    <row r="390">
      <c r="A390" s="1" t="s">
        <v>37</v>
      </c>
      <c r="B390" s="1">
        <v>0.0</v>
      </c>
    </row>
    <row r="391">
      <c r="A391" s="1" t="s">
        <v>465</v>
      </c>
      <c r="B391" s="1">
        <v>1.0</v>
      </c>
    </row>
    <row r="392">
      <c r="A392" s="1" t="s">
        <v>466</v>
      </c>
      <c r="B392" s="1">
        <v>1.0</v>
      </c>
    </row>
    <row r="393">
      <c r="A393" s="1" t="s">
        <v>467</v>
      </c>
      <c r="B393" s="1">
        <v>1.0</v>
      </c>
    </row>
    <row r="394">
      <c r="A394" s="1" t="s">
        <v>37</v>
      </c>
      <c r="B394" s="1">
        <v>0.0</v>
      </c>
    </row>
    <row r="395">
      <c r="A395" s="1" t="s">
        <v>468</v>
      </c>
      <c r="B395" s="1">
        <v>1.0</v>
      </c>
    </row>
    <row r="396">
      <c r="A396" s="1" t="s">
        <v>37</v>
      </c>
      <c r="B396" s="1">
        <v>0.0</v>
      </c>
    </row>
    <row r="397">
      <c r="A397" s="1" t="s">
        <v>469</v>
      </c>
      <c r="B397" s="1">
        <v>1.0</v>
      </c>
    </row>
    <row r="398">
      <c r="A398" s="1" t="s">
        <v>470</v>
      </c>
      <c r="B398" s="1">
        <v>3.0</v>
      </c>
    </row>
    <row r="399">
      <c r="A399" s="1" t="s">
        <v>471</v>
      </c>
      <c r="B399" s="1">
        <v>1.0</v>
      </c>
    </row>
    <row r="400">
      <c r="A400" s="1" t="s">
        <v>37</v>
      </c>
      <c r="B400" s="1">
        <v>0.0</v>
      </c>
    </row>
    <row r="401">
      <c r="A401" s="1" t="s">
        <v>37</v>
      </c>
      <c r="B401" s="1">
        <v>0.0</v>
      </c>
    </row>
    <row r="402">
      <c r="A402" s="1" t="s">
        <v>37</v>
      </c>
      <c r="B402" s="1">
        <v>0.0</v>
      </c>
    </row>
    <row r="403">
      <c r="A403" s="1" t="s">
        <v>37</v>
      </c>
      <c r="B403" s="1">
        <v>0.0</v>
      </c>
    </row>
    <row r="404">
      <c r="A404" s="1" t="s">
        <v>37</v>
      </c>
      <c r="B404" s="1">
        <v>0.0</v>
      </c>
    </row>
    <row r="405">
      <c r="A405" s="1" t="s">
        <v>472</v>
      </c>
      <c r="B405" s="1">
        <v>2.0</v>
      </c>
    </row>
    <row r="406">
      <c r="A406" s="1" t="s">
        <v>473</v>
      </c>
      <c r="B406" s="1">
        <v>1.0</v>
      </c>
    </row>
    <row r="407">
      <c r="A407" s="1" t="s">
        <v>37</v>
      </c>
      <c r="B407" s="1">
        <v>0.0</v>
      </c>
    </row>
    <row r="408">
      <c r="A408" s="1" t="s">
        <v>37</v>
      </c>
      <c r="B408" s="1">
        <v>0.0</v>
      </c>
    </row>
    <row r="409">
      <c r="A409" s="1" t="s">
        <v>37</v>
      </c>
      <c r="B409" s="1">
        <v>0.0</v>
      </c>
    </row>
    <row r="410">
      <c r="A410" s="1" t="s">
        <v>474</v>
      </c>
      <c r="B410" s="1">
        <v>3.0</v>
      </c>
    </row>
    <row r="411">
      <c r="A411" s="1" t="s">
        <v>37</v>
      </c>
      <c r="B411" s="1">
        <v>0.0</v>
      </c>
    </row>
    <row r="412">
      <c r="A412" s="1" t="s">
        <v>475</v>
      </c>
      <c r="B412" s="1">
        <v>1.0</v>
      </c>
    </row>
    <row r="413">
      <c r="A413" s="1" t="s">
        <v>476</v>
      </c>
      <c r="B413" s="1">
        <v>1.0</v>
      </c>
    </row>
    <row r="414">
      <c r="A414" s="1" t="s">
        <v>37</v>
      </c>
      <c r="B414" s="1">
        <v>0.0</v>
      </c>
    </row>
    <row r="415">
      <c r="A415" s="1" t="s">
        <v>477</v>
      </c>
      <c r="B415" s="1">
        <v>2.0</v>
      </c>
    </row>
    <row r="416">
      <c r="A416" s="1" t="s">
        <v>37</v>
      </c>
      <c r="B416" s="1">
        <v>0.0</v>
      </c>
    </row>
    <row r="417">
      <c r="A417" s="1" t="s">
        <v>37</v>
      </c>
      <c r="B417" s="1">
        <v>0.0</v>
      </c>
    </row>
    <row r="418">
      <c r="A418" s="1" t="s">
        <v>37</v>
      </c>
      <c r="B418" s="1">
        <v>0.0</v>
      </c>
    </row>
    <row r="419">
      <c r="A419" s="1" t="s">
        <v>37</v>
      </c>
      <c r="B419" s="1">
        <v>0.0</v>
      </c>
    </row>
    <row r="420">
      <c r="A420" s="1" t="s">
        <v>478</v>
      </c>
      <c r="B420" s="1">
        <v>1.0</v>
      </c>
    </row>
    <row r="421">
      <c r="A421" s="1" t="s">
        <v>479</v>
      </c>
      <c r="B421" s="1">
        <v>1.0</v>
      </c>
    </row>
    <row r="422">
      <c r="A422" s="1" t="s">
        <v>37</v>
      </c>
      <c r="B422" s="1">
        <v>0.0</v>
      </c>
    </row>
    <row r="423">
      <c r="A423" s="1" t="s">
        <v>480</v>
      </c>
      <c r="B423" s="1">
        <v>1.0</v>
      </c>
    </row>
    <row r="424">
      <c r="A424" s="1" t="s">
        <v>37</v>
      </c>
      <c r="B424" s="1">
        <v>0.0</v>
      </c>
    </row>
    <row r="425">
      <c r="A425" s="1" t="s">
        <v>37</v>
      </c>
      <c r="B425" s="1">
        <v>0.0</v>
      </c>
    </row>
    <row r="426">
      <c r="A426" s="1" t="s">
        <v>37</v>
      </c>
      <c r="B426" s="1">
        <v>0.0</v>
      </c>
    </row>
    <row r="427">
      <c r="A427" s="1" t="s">
        <v>37</v>
      </c>
      <c r="B427" s="1">
        <v>0.0</v>
      </c>
    </row>
    <row r="428">
      <c r="A428" s="1" t="s">
        <v>481</v>
      </c>
      <c r="B428" s="1">
        <v>1.0</v>
      </c>
    </row>
    <row r="429">
      <c r="A429" s="1" t="s">
        <v>37</v>
      </c>
      <c r="B429" s="1">
        <v>0.0</v>
      </c>
    </row>
    <row r="430">
      <c r="A430" s="1" t="s">
        <v>482</v>
      </c>
      <c r="B430" s="1">
        <v>2.0</v>
      </c>
    </row>
    <row r="431">
      <c r="A431" s="1" t="s">
        <v>483</v>
      </c>
      <c r="B431" s="1">
        <v>1.0</v>
      </c>
    </row>
    <row r="432">
      <c r="A432" s="1" t="s">
        <v>37</v>
      </c>
      <c r="B432" s="1">
        <v>0.0</v>
      </c>
    </row>
    <row r="433">
      <c r="A433" s="1" t="s">
        <v>37</v>
      </c>
      <c r="B433" s="1">
        <v>0.0</v>
      </c>
    </row>
    <row r="434">
      <c r="A434" s="1" t="s">
        <v>484</v>
      </c>
      <c r="B434" s="1">
        <v>1.0</v>
      </c>
    </row>
    <row r="435">
      <c r="A435" s="1" t="s">
        <v>37</v>
      </c>
      <c r="B435" s="1">
        <v>0.0</v>
      </c>
    </row>
    <row r="436">
      <c r="A436" s="1" t="s">
        <v>485</v>
      </c>
      <c r="B436" s="1">
        <v>1.0</v>
      </c>
    </row>
    <row r="437">
      <c r="A437" s="1" t="s">
        <v>37</v>
      </c>
      <c r="B437" s="1">
        <v>0.0</v>
      </c>
    </row>
    <row r="438">
      <c r="A438" s="1" t="s">
        <v>486</v>
      </c>
      <c r="B438" s="1">
        <v>1.0</v>
      </c>
    </row>
    <row r="439">
      <c r="A439" s="1" t="s">
        <v>487</v>
      </c>
      <c r="B439" s="1">
        <v>2.0</v>
      </c>
    </row>
    <row r="440">
      <c r="A440" s="1" t="s">
        <v>37</v>
      </c>
      <c r="B440" s="1">
        <v>0.0</v>
      </c>
    </row>
    <row r="441">
      <c r="A441" s="1" t="s">
        <v>37</v>
      </c>
      <c r="B441" s="1">
        <v>0.0</v>
      </c>
    </row>
    <row r="442">
      <c r="A442" s="1" t="s">
        <v>37</v>
      </c>
      <c r="B442" s="1">
        <v>0.0</v>
      </c>
    </row>
    <row r="443">
      <c r="A443" s="1" t="s">
        <v>37</v>
      </c>
      <c r="B443" s="1">
        <v>0.0</v>
      </c>
    </row>
    <row r="444">
      <c r="A444" s="1" t="s">
        <v>488</v>
      </c>
      <c r="B444" s="1">
        <v>2.0</v>
      </c>
    </row>
    <row r="445">
      <c r="A445" s="1" t="s">
        <v>37</v>
      </c>
      <c r="B445" s="1">
        <v>0.0</v>
      </c>
    </row>
    <row r="446">
      <c r="A446" s="1" t="s">
        <v>37</v>
      </c>
      <c r="B446" s="1">
        <v>0.0</v>
      </c>
    </row>
    <row r="447">
      <c r="A447" s="1" t="s">
        <v>489</v>
      </c>
      <c r="B447" s="1">
        <v>1.0</v>
      </c>
    </row>
    <row r="448">
      <c r="A448" s="1" t="s">
        <v>490</v>
      </c>
      <c r="B448" s="1">
        <v>1.0</v>
      </c>
    </row>
    <row r="449">
      <c r="A449" s="1" t="s">
        <v>37</v>
      </c>
      <c r="B449" s="1">
        <v>0.0</v>
      </c>
    </row>
    <row r="450">
      <c r="A450" s="1" t="s">
        <v>37</v>
      </c>
      <c r="B450" s="1">
        <v>0.0</v>
      </c>
    </row>
    <row r="451">
      <c r="A451" s="1" t="s">
        <v>491</v>
      </c>
      <c r="B451" s="1">
        <v>1.0</v>
      </c>
    </row>
    <row r="452">
      <c r="A452" s="1" t="s">
        <v>492</v>
      </c>
      <c r="B452" s="1">
        <v>1.0</v>
      </c>
    </row>
    <row r="453">
      <c r="A453" s="1" t="s">
        <v>493</v>
      </c>
      <c r="B453" s="1">
        <v>1.0</v>
      </c>
    </row>
    <row r="454">
      <c r="A454" s="1" t="s">
        <v>37</v>
      </c>
      <c r="B454" s="1">
        <v>0.0</v>
      </c>
    </row>
    <row r="455">
      <c r="A455" s="1" t="s">
        <v>494</v>
      </c>
      <c r="B455" s="1">
        <v>2.0</v>
      </c>
    </row>
    <row r="456">
      <c r="A456" s="1" t="s">
        <v>37</v>
      </c>
      <c r="B456" s="1">
        <v>0.0</v>
      </c>
    </row>
    <row r="457">
      <c r="A457" s="1" t="s">
        <v>37</v>
      </c>
      <c r="B457" s="1">
        <v>0.0</v>
      </c>
    </row>
    <row r="458">
      <c r="A458" s="1" t="s">
        <v>495</v>
      </c>
      <c r="B458" s="1">
        <v>3.0</v>
      </c>
    </row>
    <row r="459">
      <c r="A459" s="1" t="s">
        <v>37</v>
      </c>
      <c r="B459" s="1">
        <v>0.0</v>
      </c>
    </row>
    <row r="460">
      <c r="A460" s="1" t="s">
        <v>496</v>
      </c>
      <c r="B460" s="1">
        <v>1.0</v>
      </c>
    </row>
    <row r="461">
      <c r="A461" s="1" t="s">
        <v>37</v>
      </c>
      <c r="B461" s="1">
        <v>0.0</v>
      </c>
    </row>
    <row r="462">
      <c r="A462" s="1" t="s">
        <v>37</v>
      </c>
      <c r="B462" s="1">
        <v>0.0</v>
      </c>
    </row>
    <row r="463">
      <c r="A463" s="1" t="s">
        <v>37</v>
      </c>
      <c r="B463" s="1">
        <v>0.0</v>
      </c>
    </row>
    <row r="464">
      <c r="A464" s="1" t="s">
        <v>497</v>
      </c>
      <c r="B464" s="1">
        <v>1.0</v>
      </c>
    </row>
    <row r="465">
      <c r="A465" s="1" t="s">
        <v>37</v>
      </c>
      <c r="B465" s="1">
        <v>0.0</v>
      </c>
    </row>
    <row r="466">
      <c r="A466" s="1" t="s">
        <v>498</v>
      </c>
      <c r="B466" s="1">
        <v>1.0</v>
      </c>
    </row>
    <row r="467">
      <c r="A467" s="1" t="s">
        <v>499</v>
      </c>
      <c r="B467" s="1">
        <v>1.0</v>
      </c>
    </row>
    <row r="468">
      <c r="A468" s="1" t="s">
        <v>500</v>
      </c>
      <c r="B468" s="1">
        <v>1.0</v>
      </c>
    </row>
    <row r="469">
      <c r="A469" s="1" t="s">
        <v>37</v>
      </c>
      <c r="B469" s="1">
        <v>0.0</v>
      </c>
    </row>
    <row r="470">
      <c r="A470" s="1" t="s">
        <v>37</v>
      </c>
      <c r="B470" s="1">
        <v>0.0</v>
      </c>
    </row>
    <row r="471">
      <c r="A471" s="1" t="s">
        <v>37</v>
      </c>
      <c r="B471" s="1">
        <v>0.0</v>
      </c>
    </row>
    <row r="472">
      <c r="A472" s="1" t="s">
        <v>501</v>
      </c>
      <c r="B472" s="1">
        <v>1.0</v>
      </c>
    </row>
    <row r="473">
      <c r="A473" s="1" t="s">
        <v>37</v>
      </c>
      <c r="B473" s="1">
        <v>0.0</v>
      </c>
    </row>
    <row r="474">
      <c r="A474" s="1" t="s">
        <v>502</v>
      </c>
      <c r="B474" s="1">
        <v>1.0</v>
      </c>
    </row>
    <row r="475">
      <c r="A475" s="1" t="s">
        <v>503</v>
      </c>
      <c r="B475" s="1">
        <v>1.0</v>
      </c>
    </row>
    <row r="476">
      <c r="A476" s="1" t="s">
        <v>37</v>
      </c>
      <c r="B476" s="1">
        <v>0.0</v>
      </c>
    </row>
    <row r="477">
      <c r="A477" s="1" t="s">
        <v>37</v>
      </c>
      <c r="B477" s="1">
        <v>0.0</v>
      </c>
    </row>
    <row r="478">
      <c r="A478" s="1" t="s">
        <v>504</v>
      </c>
      <c r="B478" s="1">
        <v>1.0</v>
      </c>
    </row>
    <row r="479">
      <c r="A479" s="1" t="s">
        <v>37</v>
      </c>
      <c r="B479" s="1">
        <v>0.0</v>
      </c>
    </row>
    <row r="480">
      <c r="A480" s="1" t="s">
        <v>37</v>
      </c>
      <c r="B480" s="1">
        <v>0.0</v>
      </c>
    </row>
    <row r="481">
      <c r="A481" s="1" t="s">
        <v>505</v>
      </c>
      <c r="B481" s="1">
        <v>1.0</v>
      </c>
    </row>
    <row r="482">
      <c r="A482" s="1" t="s">
        <v>37</v>
      </c>
      <c r="B482" s="1">
        <v>0.0</v>
      </c>
    </row>
    <row r="483">
      <c r="A483" s="1" t="s">
        <v>37</v>
      </c>
      <c r="B483" s="1">
        <v>0.0</v>
      </c>
    </row>
    <row r="484">
      <c r="A484" s="1" t="s">
        <v>37</v>
      </c>
      <c r="B484" s="1">
        <v>0.0</v>
      </c>
    </row>
    <row r="485">
      <c r="A485" s="1" t="s">
        <v>37</v>
      </c>
      <c r="B485" s="1">
        <v>0.0</v>
      </c>
    </row>
    <row r="486">
      <c r="A486" s="1" t="s">
        <v>506</v>
      </c>
      <c r="B486" s="1">
        <v>1.0</v>
      </c>
    </row>
    <row r="487">
      <c r="A487" s="1" t="s">
        <v>37</v>
      </c>
      <c r="B487" s="1">
        <v>0.0</v>
      </c>
    </row>
    <row r="488">
      <c r="A488" s="1" t="s">
        <v>507</v>
      </c>
      <c r="B488" s="1">
        <v>1.0</v>
      </c>
    </row>
    <row r="489">
      <c r="A489" s="1" t="s">
        <v>508</v>
      </c>
      <c r="B489" s="1">
        <v>1.0</v>
      </c>
    </row>
    <row r="490">
      <c r="A490" s="1" t="s">
        <v>509</v>
      </c>
      <c r="B490" s="1">
        <v>1.0</v>
      </c>
    </row>
    <row r="491">
      <c r="A491" s="1" t="s">
        <v>37</v>
      </c>
      <c r="B491" s="1">
        <v>0.0</v>
      </c>
    </row>
    <row r="492">
      <c r="A492" s="1" t="s">
        <v>37</v>
      </c>
      <c r="B492" s="1">
        <v>0.0</v>
      </c>
    </row>
    <row r="493">
      <c r="A493" s="1" t="s">
        <v>37</v>
      </c>
      <c r="B493" s="1">
        <v>0.0</v>
      </c>
    </row>
    <row r="494">
      <c r="A494" s="1" t="s">
        <v>510</v>
      </c>
      <c r="B494" s="1">
        <v>1.0</v>
      </c>
    </row>
    <row r="495">
      <c r="A495" s="1" t="s">
        <v>511</v>
      </c>
      <c r="B495" s="1">
        <v>2.0</v>
      </c>
    </row>
    <row r="496">
      <c r="A496" s="1" t="s">
        <v>37</v>
      </c>
      <c r="B496" s="1">
        <v>0.0</v>
      </c>
    </row>
    <row r="497">
      <c r="A497" s="1" t="s">
        <v>512</v>
      </c>
      <c r="B497" s="1">
        <v>2.0</v>
      </c>
    </row>
    <row r="498">
      <c r="A498" s="1" t="s">
        <v>37</v>
      </c>
      <c r="B498" s="1">
        <v>0.0</v>
      </c>
    </row>
    <row r="499">
      <c r="A499" s="1" t="s">
        <v>513</v>
      </c>
      <c r="B499" s="1">
        <v>1.0</v>
      </c>
    </row>
    <row r="500">
      <c r="A500" s="1" t="s">
        <v>514</v>
      </c>
      <c r="B500" s="1">
        <v>1.0</v>
      </c>
    </row>
    <row r="501">
      <c r="A501" s="1" t="s">
        <v>37</v>
      </c>
      <c r="B501" s="1">
        <v>0.0</v>
      </c>
    </row>
    <row r="502">
      <c r="A502" s="1" t="s">
        <v>37</v>
      </c>
      <c r="B502" s="1">
        <v>0.0</v>
      </c>
    </row>
    <row r="503">
      <c r="A503" s="1" t="s">
        <v>37</v>
      </c>
      <c r="B503" s="1">
        <v>0.0</v>
      </c>
    </row>
    <row r="504">
      <c r="A504" s="1" t="s">
        <v>37</v>
      </c>
      <c r="B504" s="1">
        <v>0.0</v>
      </c>
    </row>
    <row r="505">
      <c r="A505" s="1" t="s">
        <v>37</v>
      </c>
      <c r="B505" s="1">
        <v>0.0</v>
      </c>
    </row>
    <row r="506">
      <c r="A506" s="1" t="s">
        <v>515</v>
      </c>
      <c r="B506" s="1">
        <v>1.0</v>
      </c>
    </row>
    <row r="507">
      <c r="A507" s="1" t="s">
        <v>516</v>
      </c>
      <c r="B507" s="1">
        <v>1.0</v>
      </c>
    </row>
    <row r="508">
      <c r="A508" s="1" t="s">
        <v>37</v>
      </c>
      <c r="B508" s="1">
        <v>0.0</v>
      </c>
    </row>
    <row r="509">
      <c r="A509" s="1" t="s">
        <v>517</v>
      </c>
      <c r="B509" s="1">
        <v>1.0</v>
      </c>
    </row>
    <row r="510">
      <c r="A510" s="1" t="s">
        <v>37</v>
      </c>
      <c r="B510" s="1">
        <v>0.0</v>
      </c>
    </row>
    <row r="511">
      <c r="A511" s="1" t="s">
        <v>518</v>
      </c>
      <c r="B511" s="1">
        <v>1.0</v>
      </c>
    </row>
    <row r="512">
      <c r="A512" s="1" t="s">
        <v>519</v>
      </c>
      <c r="B512" s="1">
        <v>2.0</v>
      </c>
    </row>
    <row r="513">
      <c r="A513" s="1" t="s">
        <v>37</v>
      </c>
      <c r="B513" s="1">
        <v>0.0</v>
      </c>
    </row>
    <row r="514">
      <c r="A514" s="1" t="s">
        <v>37</v>
      </c>
      <c r="B514" s="1">
        <v>0.0</v>
      </c>
    </row>
    <row r="515">
      <c r="A515" s="1" t="s">
        <v>37</v>
      </c>
      <c r="B515" s="1">
        <v>0.0</v>
      </c>
    </row>
    <row r="516">
      <c r="A516" s="1" t="s">
        <v>37</v>
      </c>
      <c r="B516" s="1">
        <v>0.0</v>
      </c>
    </row>
    <row r="517">
      <c r="A517" s="1" t="s">
        <v>520</v>
      </c>
      <c r="B517" s="1">
        <v>1.0</v>
      </c>
    </row>
    <row r="518">
      <c r="A518" s="1" t="s">
        <v>37</v>
      </c>
      <c r="B518" s="1">
        <v>0.0</v>
      </c>
    </row>
    <row r="519">
      <c r="A519" s="1" t="s">
        <v>521</v>
      </c>
      <c r="B519" s="1">
        <v>1.0</v>
      </c>
    </row>
    <row r="520">
      <c r="A520" s="1" t="s">
        <v>37</v>
      </c>
      <c r="B520" s="1">
        <v>0.0</v>
      </c>
    </row>
    <row r="521">
      <c r="A521" s="1" t="s">
        <v>37</v>
      </c>
      <c r="B521" s="1">
        <v>0.0</v>
      </c>
    </row>
    <row r="522">
      <c r="A522" s="1" t="s">
        <v>522</v>
      </c>
      <c r="B522" s="1">
        <v>1.0</v>
      </c>
    </row>
    <row r="523">
      <c r="A523" s="1" t="s">
        <v>37</v>
      </c>
      <c r="B523" s="1">
        <v>0.0</v>
      </c>
    </row>
    <row r="524">
      <c r="A524" s="1" t="s">
        <v>37</v>
      </c>
      <c r="B524" s="1">
        <v>0.0</v>
      </c>
    </row>
    <row r="525">
      <c r="A525" s="1" t="s">
        <v>523</v>
      </c>
      <c r="B525" s="1">
        <v>1.0</v>
      </c>
    </row>
    <row r="526">
      <c r="A526" s="1" t="s">
        <v>524</v>
      </c>
      <c r="B526" s="1">
        <v>1.0</v>
      </c>
    </row>
    <row r="527">
      <c r="A527" s="1" t="s">
        <v>37</v>
      </c>
      <c r="B527" s="1">
        <v>0.0</v>
      </c>
    </row>
    <row r="528">
      <c r="A528" s="1" t="s">
        <v>525</v>
      </c>
      <c r="B528" s="1">
        <v>1.0</v>
      </c>
    </row>
    <row r="529">
      <c r="A529" s="1" t="s">
        <v>526</v>
      </c>
      <c r="B529" s="1">
        <v>1.0</v>
      </c>
    </row>
    <row r="530">
      <c r="A530" s="1" t="s">
        <v>37</v>
      </c>
      <c r="B530" s="1">
        <v>0.0</v>
      </c>
    </row>
    <row r="531">
      <c r="A531" s="1" t="s">
        <v>37</v>
      </c>
      <c r="B531" s="1">
        <v>0.0</v>
      </c>
    </row>
    <row r="532">
      <c r="A532" s="1" t="s">
        <v>37</v>
      </c>
      <c r="B532" s="1">
        <v>0.0</v>
      </c>
    </row>
    <row r="533">
      <c r="A533" s="1" t="s">
        <v>37</v>
      </c>
      <c r="B533" s="1">
        <v>0.0</v>
      </c>
    </row>
    <row r="534">
      <c r="A534" s="1" t="s">
        <v>37</v>
      </c>
      <c r="B534" s="1">
        <v>0.0</v>
      </c>
    </row>
    <row r="535">
      <c r="A535" s="1" t="s">
        <v>37</v>
      </c>
      <c r="B535" s="1">
        <v>0.0</v>
      </c>
    </row>
    <row r="536">
      <c r="A536" s="1" t="s">
        <v>527</v>
      </c>
      <c r="B536" s="1">
        <v>1.0</v>
      </c>
    </row>
    <row r="537">
      <c r="A537" s="1" t="s">
        <v>37</v>
      </c>
      <c r="B537" s="1">
        <v>0.0</v>
      </c>
    </row>
    <row r="538">
      <c r="A538" s="1" t="s">
        <v>528</v>
      </c>
      <c r="B538" s="1">
        <v>1.0</v>
      </c>
    </row>
    <row r="539">
      <c r="A539" s="1" t="s">
        <v>37</v>
      </c>
      <c r="B539" s="1">
        <v>0.0</v>
      </c>
    </row>
    <row r="540">
      <c r="A540" s="1" t="s">
        <v>529</v>
      </c>
      <c r="B540" s="1">
        <v>1.0</v>
      </c>
    </row>
    <row r="541">
      <c r="A541" s="1" t="s">
        <v>37</v>
      </c>
      <c r="B541" s="1">
        <v>0.0</v>
      </c>
    </row>
    <row r="542">
      <c r="A542" s="1" t="s">
        <v>37</v>
      </c>
      <c r="B542" s="1">
        <v>0.0</v>
      </c>
    </row>
    <row r="543">
      <c r="A543" s="1" t="s">
        <v>530</v>
      </c>
      <c r="B543" s="1">
        <v>3.0</v>
      </c>
    </row>
    <row r="544">
      <c r="A544" s="1" t="s">
        <v>37</v>
      </c>
      <c r="B544" s="1">
        <v>0.0</v>
      </c>
    </row>
    <row r="545">
      <c r="A545" s="1" t="s">
        <v>531</v>
      </c>
      <c r="B545" s="1">
        <v>1.0</v>
      </c>
    </row>
    <row r="546">
      <c r="A546" s="1" t="s">
        <v>37</v>
      </c>
      <c r="B546" s="1">
        <v>0.0</v>
      </c>
    </row>
    <row r="547">
      <c r="A547" s="1" t="s">
        <v>37</v>
      </c>
      <c r="B547" s="1">
        <v>0.0</v>
      </c>
    </row>
    <row r="548">
      <c r="A548" s="1" t="s">
        <v>37</v>
      </c>
      <c r="B548" s="1">
        <v>0.0</v>
      </c>
    </row>
    <row r="549">
      <c r="A549" s="1" t="s">
        <v>37</v>
      </c>
      <c r="B549" s="1">
        <v>0.0</v>
      </c>
    </row>
    <row r="550">
      <c r="A550" s="1" t="s">
        <v>37</v>
      </c>
      <c r="B550" s="1">
        <v>0.0</v>
      </c>
    </row>
    <row r="551">
      <c r="A551" s="1" t="s">
        <v>532</v>
      </c>
      <c r="B551" s="1">
        <v>1.0</v>
      </c>
    </row>
    <row r="552">
      <c r="A552" s="1" t="s">
        <v>533</v>
      </c>
      <c r="B552" s="1">
        <v>1.0</v>
      </c>
    </row>
    <row r="553">
      <c r="A553" s="1" t="s">
        <v>37</v>
      </c>
      <c r="B553" s="1">
        <v>0.0</v>
      </c>
    </row>
    <row r="554">
      <c r="A554" s="1" t="s">
        <v>37</v>
      </c>
      <c r="B554" s="1">
        <v>0.0</v>
      </c>
    </row>
    <row r="555">
      <c r="A555" s="1" t="s">
        <v>37</v>
      </c>
      <c r="B555" s="1">
        <v>0.0</v>
      </c>
    </row>
    <row r="556">
      <c r="A556" s="1" t="s">
        <v>534</v>
      </c>
      <c r="B556" s="1">
        <v>2.0</v>
      </c>
    </row>
    <row r="557">
      <c r="A557" s="1" t="s">
        <v>37</v>
      </c>
      <c r="B557" s="1">
        <v>0.0</v>
      </c>
    </row>
    <row r="558">
      <c r="A558" s="1" t="s">
        <v>37</v>
      </c>
      <c r="B558" s="1">
        <v>0.0</v>
      </c>
    </row>
    <row r="559">
      <c r="A559" s="1" t="s">
        <v>535</v>
      </c>
      <c r="B559" s="1">
        <v>1.0</v>
      </c>
    </row>
    <row r="560">
      <c r="A560" s="1" t="s">
        <v>536</v>
      </c>
      <c r="B560" s="1">
        <v>1.0</v>
      </c>
    </row>
    <row r="561">
      <c r="A561" s="1" t="s">
        <v>37</v>
      </c>
      <c r="B561" s="1">
        <v>0.0</v>
      </c>
    </row>
    <row r="562">
      <c r="A562" s="1" t="s">
        <v>537</v>
      </c>
      <c r="B562" s="1">
        <v>2.0</v>
      </c>
    </row>
    <row r="563">
      <c r="A563" s="1" t="s">
        <v>37</v>
      </c>
      <c r="B563" s="1">
        <v>0.0</v>
      </c>
    </row>
    <row r="564">
      <c r="A564" s="1" t="s">
        <v>538</v>
      </c>
      <c r="B564" s="1">
        <v>1.0</v>
      </c>
    </row>
    <row r="565">
      <c r="A565" s="1" t="s">
        <v>37</v>
      </c>
      <c r="B565" s="1">
        <v>0.0</v>
      </c>
    </row>
    <row r="566">
      <c r="A566" s="1" t="s">
        <v>37</v>
      </c>
      <c r="B566" s="1">
        <v>0.0</v>
      </c>
    </row>
    <row r="567">
      <c r="A567" s="1" t="s">
        <v>37</v>
      </c>
      <c r="B567" s="1">
        <v>0.0</v>
      </c>
    </row>
    <row r="568">
      <c r="A568" s="1" t="s">
        <v>539</v>
      </c>
      <c r="B568" s="1">
        <v>2.0</v>
      </c>
    </row>
    <row r="569">
      <c r="A569" s="1" t="s">
        <v>37</v>
      </c>
      <c r="B569" s="1">
        <v>0.0</v>
      </c>
    </row>
    <row r="570">
      <c r="A570" s="1" t="s">
        <v>540</v>
      </c>
      <c r="B570" s="1">
        <v>1.0</v>
      </c>
    </row>
    <row r="571">
      <c r="A571" s="1" t="s">
        <v>541</v>
      </c>
      <c r="B571" s="1">
        <v>1.0</v>
      </c>
    </row>
    <row r="572">
      <c r="A572" s="1" t="s">
        <v>37</v>
      </c>
      <c r="B572" s="1">
        <v>0.0</v>
      </c>
    </row>
    <row r="573">
      <c r="A573" s="1" t="s">
        <v>37</v>
      </c>
      <c r="B573" s="1">
        <v>0.0</v>
      </c>
    </row>
    <row r="574">
      <c r="A574" s="1" t="s">
        <v>37</v>
      </c>
      <c r="B574" s="1">
        <v>0.0</v>
      </c>
    </row>
    <row r="575">
      <c r="A575" s="1" t="s">
        <v>37</v>
      </c>
      <c r="B575" s="1">
        <v>0.0</v>
      </c>
    </row>
    <row r="576">
      <c r="A576" s="1" t="s">
        <v>542</v>
      </c>
      <c r="B576" s="1">
        <v>1.0</v>
      </c>
    </row>
    <row r="577">
      <c r="A577" s="1" t="s">
        <v>543</v>
      </c>
      <c r="B577" s="1">
        <v>1.0</v>
      </c>
    </row>
    <row r="578">
      <c r="A578" s="1" t="s">
        <v>544</v>
      </c>
      <c r="B578" s="1">
        <v>1.0</v>
      </c>
    </row>
    <row r="579">
      <c r="A579" s="1" t="s">
        <v>545</v>
      </c>
      <c r="B579" s="1">
        <v>2.0</v>
      </c>
    </row>
    <row r="580">
      <c r="A580" s="1" t="s">
        <v>546</v>
      </c>
      <c r="B580" s="1">
        <v>1.0</v>
      </c>
    </row>
    <row r="581">
      <c r="A581" s="1" t="s">
        <v>37</v>
      </c>
      <c r="B581" s="1">
        <v>0.0</v>
      </c>
    </row>
    <row r="582">
      <c r="A582" s="1" t="s">
        <v>37</v>
      </c>
      <c r="B582" s="1">
        <v>0.0</v>
      </c>
    </row>
    <row r="583">
      <c r="A583" s="1" t="s">
        <v>37</v>
      </c>
      <c r="B583" s="1">
        <v>0.0</v>
      </c>
    </row>
    <row r="584">
      <c r="A584" s="1" t="s">
        <v>547</v>
      </c>
      <c r="B584" s="1">
        <v>2.0</v>
      </c>
    </row>
    <row r="585">
      <c r="A585" s="1" t="s">
        <v>37</v>
      </c>
      <c r="B585" s="1">
        <v>0.0</v>
      </c>
    </row>
    <row r="586">
      <c r="A586" s="1" t="s">
        <v>37</v>
      </c>
      <c r="B586" s="1">
        <v>0.0</v>
      </c>
    </row>
    <row r="587">
      <c r="A587" s="1" t="s">
        <v>37</v>
      </c>
      <c r="B587" s="1">
        <v>0.0</v>
      </c>
    </row>
    <row r="588">
      <c r="A588" s="1" t="s">
        <v>37</v>
      </c>
      <c r="B588" s="1">
        <v>0.0</v>
      </c>
    </row>
    <row r="589">
      <c r="A589" s="1" t="s">
        <v>37</v>
      </c>
      <c r="B589" s="1">
        <v>0.0</v>
      </c>
    </row>
    <row r="590">
      <c r="A590" s="1" t="s">
        <v>37</v>
      </c>
      <c r="B590" s="1">
        <v>0.0</v>
      </c>
    </row>
    <row r="591">
      <c r="A591" s="1" t="s">
        <v>548</v>
      </c>
      <c r="B591" s="1">
        <v>1.0</v>
      </c>
    </row>
    <row r="592">
      <c r="A592" s="1" t="s">
        <v>549</v>
      </c>
      <c r="B592" s="1">
        <v>1.0</v>
      </c>
    </row>
    <row r="593">
      <c r="A593" s="1" t="s">
        <v>37</v>
      </c>
      <c r="B593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163</v>
      </c>
      <c r="C1" s="1" t="s">
        <v>1</v>
      </c>
      <c r="D1" s="1" t="s">
        <v>2</v>
      </c>
      <c r="E1" s="1" t="s">
        <v>30</v>
      </c>
      <c r="F1" s="1"/>
    </row>
    <row r="2">
      <c r="A2" s="1" t="s">
        <v>550</v>
      </c>
      <c r="B2" s="1">
        <v>1.0</v>
      </c>
      <c r="D2" s="1">
        <v>1.0</v>
      </c>
      <c r="E2" s="1">
        <v>1.0</v>
      </c>
      <c r="F2" s="1"/>
      <c r="G2" s="1" t="s">
        <v>551</v>
      </c>
      <c r="H2" s="1" t="s">
        <v>33</v>
      </c>
    </row>
    <row r="3">
      <c r="A3" s="1" t="s">
        <v>84</v>
      </c>
      <c r="B3" s="1">
        <v>0.0</v>
      </c>
      <c r="D3" s="1">
        <v>2.0</v>
      </c>
      <c r="E3" s="1">
        <v>2.0</v>
      </c>
      <c r="F3" s="1"/>
      <c r="G3" s="5">
        <f>274/600</f>
        <v>0.4566666667</v>
      </c>
      <c r="H3" s="5">
        <f>G3*10</f>
        <v>4.566666667</v>
      </c>
      <c r="J3" s="5">
        <f t="shared" ref="J3:J275" si="1">D3-D2</f>
        <v>1</v>
      </c>
    </row>
    <row r="4">
      <c r="A4" s="1" t="s">
        <v>37</v>
      </c>
      <c r="B4" s="1">
        <v>0.0</v>
      </c>
      <c r="D4" s="1">
        <v>4.003056</v>
      </c>
      <c r="E4" s="1">
        <v>3.0</v>
      </c>
      <c r="F4" s="1"/>
      <c r="G4" s="1" t="s">
        <v>9</v>
      </c>
      <c r="J4" s="5">
        <f t="shared" si="1"/>
        <v>2.003056</v>
      </c>
    </row>
    <row r="5">
      <c r="A5" s="1" t="s">
        <v>552</v>
      </c>
      <c r="B5" s="1">
        <v>1.0</v>
      </c>
      <c r="D5" s="1">
        <v>7.769759</v>
      </c>
      <c r="E5" s="1">
        <v>4.0</v>
      </c>
      <c r="F5" s="1"/>
      <c r="G5" s="5">
        <f>SQRT(274)/600</f>
        <v>0.02758824226</v>
      </c>
      <c r="J5" s="5">
        <f t="shared" si="1"/>
        <v>3.766703</v>
      </c>
    </row>
    <row r="6">
      <c r="A6" s="1" t="s">
        <v>37</v>
      </c>
      <c r="B6" s="1">
        <v>0.0</v>
      </c>
      <c r="D6" s="1">
        <v>10.849019</v>
      </c>
      <c r="E6" s="1">
        <v>5.0</v>
      </c>
      <c r="F6" s="1"/>
      <c r="J6" s="5">
        <f t="shared" si="1"/>
        <v>3.07926</v>
      </c>
    </row>
    <row r="7">
      <c r="A7" s="1" t="s">
        <v>37</v>
      </c>
      <c r="B7" s="1">
        <v>0.0</v>
      </c>
      <c r="D7" s="1">
        <v>13.280342</v>
      </c>
      <c r="E7" s="1">
        <v>6.0</v>
      </c>
      <c r="F7" s="1"/>
      <c r="J7" s="5">
        <f t="shared" si="1"/>
        <v>2.431323</v>
      </c>
    </row>
    <row r="8">
      <c r="A8" s="1" t="s">
        <v>553</v>
      </c>
      <c r="B8" s="1">
        <v>1.0</v>
      </c>
      <c r="D8" s="1">
        <v>14.324995</v>
      </c>
      <c r="E8" s="1">
        <v>7.0</v>
      </c>
      <c r="F8" s="1"/>
      <c r="G8" s="1" t="s">
        <v>554</v>
      </c>
      <c r="J8" s="5">
        <f t="shared" si="1"/>
        <v>1.044653</v>
      </c>
    </row>
    <row r="9">
      <c r="A9" s="1" t="s">
        <v>37</v>
      </c>
      <c r="B9" s="1">
        <v>0.0</v>
      </c>
      <c r="D9" s="1">
        <v>14.611141</v>
      </c>
      <c r="E9" s="1">
        <v>8.0</v>
      </c>
      <c r="F9" s="1"/>
      <c r="G9" s="1">
        <v>274.0</v>
      </c>
      <c r="J9" s="5">
        <f t="shared" si="1"/>
        <v>0.286146</v>
      </c>
    </row>
    <row r="10">
      <c r="A10" s="1" t="s">
        <v>37</v>
      </c>
      <c r="B10" s="1">
        <v>0.0</v>
      </c>
      <c r="D10" s="1">
        <v>15.885612</v>
      </c>
      <c r="E10" s="1">
        <v>9.0</v>
      </c>
      <c r="F10" s="1"/>
      <c r="J10" s="5">
        <f t="shared" si="1"/>
        <v>1.274471</v>
      </c>
    </row>
    <row r="11">
      <c r="A11" s="1" t="s">
        <v>555</v>
      </c>
      <c r="B11" s="1">
        <v>1.0</v>
      </c>
      <c r="D11" s="1">
        <v>16.127327</v>
      </c>
      <c r="E11" s="1">
        <v>10.0</v>
      </c>
      <c r="F11" s="1"/>
      <c r="J11" s="5">
        <f t="shared" si="1"/>
        <v>0.241715</v>
      </c>
    </row>
    <row r="12">
      <c r="A12" s="1" t="s">
        <v>37</v>
      </c>
      <c r="B12" s="1">
        <v>0.0</v>
      </c>
      <c r="D12" s="1">
        <v>21.340857</v>
      </c>
      <c r="E12" s="1">
        <v>11.0</v>
      </c>
      <c r="F12" s="1"/>
      <c r="J12" s="5">
        <f t="shared" si="1"/>
        <v>5.21353</v>
      </c>
    </row>
    <row r="13">
      <c r="A13" s="1" t="s">
        <v>37</v>
      </c>
      <c r="B13" s="1">
        <v>0.0</v>
      </c>
      <c r="D13" s="1">
        <v>23.258592</v>
      </c>
      <c r="E13" s="1">
        <v>12.0</v>
      </c>
      <c r="F13" s="1"/>
      <c r="J13" s="5">
        <f t="shared" si="1"/>
        <v>1.917735</v>
      </c>
    </row>
    <row r="14">
      <c r="A14" s="1" t="s">
        <v>556</v>
      </c>
      <c r="B14" s="1">
        <v>1.0</v>
      </c>
      <c r="D14" s="1">
        <v>25.721888</v>
      </c>
      <c r="E14" s="1">
        <v>13.0</v>
      </c>
      <c r="F14" s="1"/>
      <c r="J14" s="5">
        <f t="shared" si="1"/>
        <v>2.463296</v>
      </c>
    </row>
    <row r="15">
      <c r="A15" s="1" t="s">
        <v>557</v>
      </c>
      <c r="B15" s="1">
        <v>2.0</v>
      </c>
      <c r="D15" s="1">
        <v>27.487808</v>
      </c>
      <c r="E15" s="1">
        <v>14.0</v>
      </c>
      <c r="F15" s="1"/>
      <c r="J15" s="5">
        <f t="shared" si="1"/>
        <v>1.76592</v>
      </c>
    </row>
    <row r="16">
      <c r="A16" s="1" t="s">
        <v>558</v>
      </c>
      <c r="B16" s="1">
        <v>1.0</v>
      </c>
      <c r="D16" s="1">
        <v>28.98989</v>
      </c>
      <c r="E16" s="1">
        <v>15.0</v>
      </c>
      <c r="F16" s="1"/>
      <c r="J16" s="5">
        <f t="shared" si="1"/>
        <v>1.502082</v>
      </c>
    </row>
    <row r="17">
      <c r="A17" s="1" t="s">
        <v>559</v>
      </c>
      <c r="B17" s="1">
        <v>1.0</v>
      </c>
      <c r="D17" s="1">
        <v>29.567444</v>
      </c>
      <c r="E17" s="1">
        <v>16.0</v>
      </c>
      <c r="F17" s="1"/>
      <c r="J17" s="5">
        <f t="shared" si="1"/>
        <v>0.577554</v>
      </c>
    </row>
    <row r="18">
      <c r="A18" s="1" t="s">
        <v>37</v>
      </c>
      <c r="B18" s="1">
        <v>0.0</v>
      </c>
      <c r="D18" s="1">
        <v>29.64473</v>
      </c>
      <c r="E18" s="1">
        <v>17.0</v>
      </c>
      <c r="F18" s="1"/>
      <c r="J18" s="5">
        <f t="shared" si="1"/>
        <v>0.077286</v>
      </c>
    </row>
    <row r="19">
      <c r="A19" s="1" t="s">
        <v>37</v>
      </c>
      <c r="B19" s="1">
        <v>0.0</v>
      </c>
      <c r="D19" s="1">
        <v>32.173129</v>
      </c>
      <c r="E19" s="1">
        <v>18.0</v>
      </c>
      <c r="F19" s="1"/>
      <c r="J19" s="5">
        <f t="shared" si="1"/>
        <v>2.528399</v>
      </c>
    </row>
    <row r="20">
      <c r="A20" s="1" t="s">
        <v>37</v>
      </c>
      <c r="B20" s="1">
        <v>0.0</v>
      </c>
      <c r="D20" s="1">
        <v>32.997753</v>
      </c>
      <c r="E20" s="1">
        <v>19.0</v>
      </c>
      <c r="F20" s="1"/>
      <c r="J20" s="5">
        <f t="shared" si="1"/>
        <v>0.824624</v>
      </c>
    </row>
    <row r="21">
      <c r="A21" s="1" t="s">
        <v>37</v>
      </c>
      <c r="B21" s="1">
        <v>0.0</v>
      </c>
      <c r="D21" s="1">
        <v>33.33059</v>
      </c>
      <c r="E21" s="1">
        <v>20.0</v>
      </c>
      <c r="F21" s="1"/>
      <c r="J21" s="5">
        <f t="shared" si="1"/>
        <v>0.332837</v>
      </c>
    </row>
    <row r="22">
      <c r="A22" s="1" t="s">
        <v>560</v>
      </c>
      <c r="B22" s="1">
        <v>1.0</v>
      </c>
      <c r="D22" s="1">
        <v>33.597176</v>
      </c>
      <c r="E22" s="1">
        <v>21.0</v>
      </c>
      <c r="F22" s="1"/>
      <c r="J22" s="5">
        <f t="shared" si="1"/>
        <v>0.266586</v>
      </c>
    </row>
    <row r="23">
      <c r="A23" s="1" t="s">
        <v>37</v>
      </c>
      <c r="B23" s="1">
        <v>0.0</v>
      </c>
      <c r="D23" s="1">
        <v>35.338647</v>
      </c>
      <c r="E23" s="1">
        <v>22.0</v>
      </c>
      <c r="F23" s="1"/>
      <c r="J23" s="5">
        <f t="shared" si="1"/>
        <v>1.741471</v>
      </c>
    </row>
    <row r="24">
      <c r="A24" s="1" t="s">
        <v>561</v>
      </c>
      <c r="B24" s="1">
        <v>1.0</v>
      </c>
      <c r="D24" s="1">
        <v>36.496807</v>
      </c>
      <c r="E24" s="1">
        <v>23.0</v>
      </c>
      <c r="F24" s="1"/>
      <c r="J24" s="5">
        <f t="shared" si="1"/>
        <v>1.15816</v>
      </c>
    </row>
    <row r="25">
      <c r="A25" s="1" t="s">
        <v>37</v>
      </c>
      <c r="B25" s="1">
        <v>0.0</v>
      </c>
      <c r="D25" s="1">
        <v>42.167854</v>
      </c>
      <c r="E25" s="1">
        <v>24.0</v>
      </c>
      <c r="F25" s="1"/>
      <c r="J25" s="5">
        <f t="shared" si="1"/>
        <v>5.671047</v>
      </c>
    </row>
    <row r="26">
      <c r="A26" s="1" t="s">
        <v>562</v>
      </c>
      <c r="B26" s="1">
        <v>1.0</v>
      </c>
      <c r="D26" s="1">
        <v>44.101866</v>
      </c>
      <c r="E26" s="1">
        <v>25.0</v>
      </c>
      <c r="F26" s="1"/>
      <c r="J26" s="5">
        <f t="shared" si="1"/>
        <v>1.934012</v>
      </c>
    </row>
    <row r="27">
      <c r="A27" s="1" t="s">
        <v>37</v>
      </c>
      <c r="B27" s="1">
        <v>0.0</v>
      </c>
      <c r="D27" s="1">
        <v>46.459323</v>
      </c>
      <c r="E27" s="1">
        <v>26.0</v>
      </c>
      <c r="F27" s="1"/>
      <c r="J27" s="5">
        <f t="shared" si="1"/>
        <v>2.357457</v>
      </c>
    </row>
    <row r="28">
      <c r="A28" s="1" t="s">
        <v>563</v>
      </c>
      <c r="B28" s="1">
        <v>1.0</v>
      </c>
      <c r="D28" s="1">
        <v>47.370276</v>
      </c>
      <c r="E28" s="1">
        <v>27.0</v>
      </c>
      <c r="F28" s="1"/>
      <c r="J28" s="5">
        <f t="shared" si="1"/>
        <v>0.910953</v>
      </c>
    </row>
    <row r="29">
      <c r="A29" s="1" t="s">
        <v>564</v>
      </c>
      <c r="B29" s="1">
        <v>1.0</v>
      </c>
      <c r="D29" s="1">
        <v>48.305099</v>
      </c>
      <c r="E29" s="1">
        <v>28.0</v>
      </c>
      <c r="F29" s="1"/>
      <c r="J29" s="5">
        <f t="shared" si="1"/>
        <v>0.934823</v>
      </c>
    </row>
    <row r="30">
      <c r="A30" s="1" t="s">
        <v>565</v>
      </c>
      <c r="B30" s="1">
        <v>2.0</v>
      </c>
      <c r="D30" s="1">
        <v>50.858532</v>
      </c>
      <c r="E30" s="1">
        <v>29.0</v>
      </c>
      <c r="F30" s="1"/>
      <c r="J30" s="5">
        <f t="shared" si="1"/>
        <v>2.553433</v>
      </c>
    </row>
    <row r="31">
      <c r="A31" s="1" t="s">
        <v>37</v>
      </c>
      <c r="B31" s="1">
        <v>0.0</v>
      </c>
      <c r="D31" s="1">
        <v>55.680068</v>
      </c>
      <c r="E31" s="1">
        <v>30.0</v>
      </c>
      <c r="F31" s="1"/>
      <c r="J31" s="5">
        <f t="shared" si="1"/>
        <v>4.821536</v>
      </c>
    </row>
    <row r="32">
      <c r="A32" s="1" t="s">
        <v>37</v>
      </c>
      <c r="B32" s="1">
        <v>0.0</v>
      </c>
      <c r="D32" s="1">
        <v>57.365849</v>
      </c>
      <c r="E32" s="1">
        <v>31.0</v>
      </c>
      <c r="F32" s="1"/>
      <c r="J32" s="5">
        <f t="shared" si="1"/>
        <v>1.685781</v>
      </c>
    </row>
    <row r="33">
      <c r="A33" s="1" t="s">
        <v>566</v>
      </c>
      <c r="B33" s="1">
        <v>2.0</v>
      </c>
      <c r="D33" s="1">
        <v>62.061545</v>
      </c>
      <c r="E33" s="1">
        <v>32.0</v>
      </c>
      <c r="F33" s="1"/>
      <c r="J33" s="5">
        <f t="shared" si="1"/>
        <v>4.695696</v>
      </c>
    </row>
    <row r="34">
      <c r="A34" s="1" t="s">
        <v>567</v>
      </c>
      <c r="B34" s="1">
        <v>2.0</v>
      </c>
      <c r="D34" s="1">
        <v>68.983456</v>
      </c>
      <c r="E34" s="1">
        <v>33.0</v>
      </c>
      <c r="F34" s="1"/>
      <c r="J34" s="5">
        <f t="shared" si="1"/>
        <v>6.921911</v>
      </c>
    </row>
    <row r="35">
      <c r="A35" s="1" t="s">
        <v>37</v>
      </c>
      <c r="B35" s="1">
        <v>0.0</v>
      </c>
      <c r="D35" s="1">
        <v>70.102721</v>
      </c>
      <c r="E35" s="1">
        <v>34.0</v>
      </c>
      <c r="F35" s="1"/>
      <c r="J35" s="5">
        <f t="shared" si="1"/>
        <v>1.119265</v>
      </c>
    </row>
    <row r="36">
      <c r="A36" s="1" t="s">
        <v>568</v>
      </c>
      <c r="B36" s="1">
        <v>1.0</v>
      </c>
      <c r="D36" s="1">
        <v>70.719673</v>
      </c>
      <c r="E36" s="1">
        <v>35.0</v>
      </c>
      <c r="F36" s="1"/>
      <c r="J36" s="5">
        <f t="shared" si="1"/>
        <v>0.616952</v>
      </c>
    </row>
    <row r="37">
      <c r="A37" s="1" t="s">
        <v>569</v>
      </c>
      <c r="B37" s="1">
        <v>1.0</v>
      </c>
      <c r="D37" s="1">
        <v>72.371367</v>
      </c>
      <c r="E37" s="1">
        <v>36.0</v>
      </c>
      <c r="F37" s="1"/>
      <c r="J37" s="5">
        <f t="shared" si="1"/>
        <v>1.651694</v>
      </c>
    </row>
    <row r="38">
      <c r="A38" s="1" t="s">
        <v>37</v>
      </c>
      <c r="B38" s="1">
        <v>0.0</v>
      </c>
      <c r="D38" s="1">
        <v>73.798069</v>
      </c>
      <c r="E38" s="1">
        <v>37.0</v>
      </c>
      <c r="F38" s="1"/>
      <c r="J38" s="5">
        <f t="shared" si="1"/>
        <v>1.426702</v>
      </c>
    </row>
    <row r="39">
      <c r="A39" s="1" t="s">
        <v>37</v>
      </c>
      <c r="B39" s="1">
        <v>0.0</v>
      </c>
      <c r="D39" s="1">
        <v>76.007646</v>
      </c>
      <c r="E39" s="1">
        <v>38.0</v>
      </c>
      <c r="F39" s="1"/>
      <c r="J39" s="5">
        <f t="shared" si="1"/>
        <v>2.209577</v>
      </c>
    </row>
    <row r="40">
      <c r="A40" s="1" t="s">
        <v>37</v>
      </c>
      <c r="B40" s="1">
        <v>0.0</v>
      </c>
      <c r="D40" s="1">
        <v>77.568608</v>
      </c>
      <c r="E40" s="1">
        <v>39.0</v>
      </c>
      <c r="F40" s="1"/>
      <c r="J40" s="5">
        <f t="shared" si="1"/>
        <v>1.560962</v>
      </c>
    </row>
    <row r="41">
      <c r="A41" s="1" t="s">
        <v>37</v>
      </c>
      <c r="B41" s="1">
        <v>0.0</v>
      </c>
      <c r="D41" s="1">
        <v>79.667778</v>
      </c>
      <c r="E41" s="1">
        <v>40.0</v>
      </c>
      <c r="F41" s="1"/>
      <c r="J41" s="5">
        <f t="shared" si="1"/>
        <v>2.09917</v>
      </c>
    </row>
    <row r="42">
      <c r="A42" s="1" t="s">
        <v>37</v>
      </c>
      <c r="B42" s="1">
        <v>0.0</v>
      </c>
      <c r="D42" s="1">
        <v>82.451475</v>
      </c>
      <c r="E42" s="1">
        <v>41.0</v>
      </c>
      <c r="F42" s="1"/>
      <c r="J42" s="5">
        <f t="shared" si="1"/>
        <v>2.783697</v>
      </c>
    </row>
    <row r="43">
      <c r="A43" s="1" t="s">
        <v>570</v>
      </c>
      <c r="B43" s="1">
        <v>1.0</v>
      </c>
      <c r="D43" s="1">
        <v>84.931857</v>
      </c>
      <c r="E43" s="1">
        <v>42.0</v>
      </c>
      <c r="F43" s="1"/>
      <c r="J43" s="5">
        <f t="shared" si="1"/>
        <v>2.480382</v>
      </c>
    </row>
    <row r="44">
      <c r="A44" s="1" t="s">
        <v>37</v>
      </c>
      <c r="B44" s="1">
        <v>0.0</v>
      </c>
      <c r="D44" s="1">
        <v>85.070587</v>
      </c>
      <c r="E44" s="1">
        <v>43.0</v>
      </c>
      <c r="F44" s="1"/>
      <c r="J44" s="5">
        <f t="shared" si="1"/>
        <v>0.13873</v>
      </c>
    </row>
    <row r="45">
      <c r="A45" s="1" t="s">
        <v>571</v>
      </c>
      <c r="B45" s="1">
        <v>1.0</v>
      </c>
      <c r="D45" s="1">
        <v>85.518711</v>
      </c>
      <c r="E45" s="1">
        <v>44.0</v>
      </c>
      <c r="F45" s="1"/>
      <c r="J45" s="5">
        <f t="shared" si="1"/>
        <v>0.448124</v>
      </c>
    </row>
    <row r="46">
      <c r="A46" s="1" t="s">
        <v>37</v>
      </c>
      <c r="B46" s="1">
        <v>0.0</v>
      </c>
      <c r="D46" s="1">
        <v>89.315914</v>
      </c>
      <c r="E46" s="1">
        <v>45.0</v>
      </c>
      <c r="F46" s="1"/>
      <c r="J46" s="5">
        <f t="shared" si="1"/>
        <v>3.797203</v>
      </c>
    </row>
    <row r="47">
      <c r="A47" s="1" t="s">
        <v>572</v>
      </c>
      <c r="B47" s="1">
        <v>1.0</v>
      </c>
      <c r="D47" s="1">
        <v>92.840753</v>
      </c>
      <c r="E47" s="1">
        <v>46.0</v>
      </c>
      <c r="F47" s="1"/>
      <c r="J47" s="5">
        <f t="shared" si="1"/>
        <v>3.524839</v>
      </c>
    </row>
    <row r="48">
      <c r="A48" s="1" t="s">
        <v>573</v>
      </c>
      <c r="B48" s="1">
        <v>1.0</v>
      </c>
      <c r="D48" s="1">
        <v>102.91324</v>
      </c>
      <c r="E48" s="1">
        <v>47.0</v>
      </c>
      <c r="F48" s="1"/>
      <c r="J48" s="5">
        <f t="shared" si="1"/>
        <v>10.072487</v>
      </c>
    </row>
    <row r="49">
      <c r="A49" s="1" t="s">
        <v>574</v>
      </c>
      <c r="B49" s="1">
        <v>1.0</v>
      </c>
      <c r="D49" s="1">
        <v>103.74253</v>
      </c>
      <c r="E49" s="1">
        <v>48.0</v>
      </c>
      <c r="F49" s="1"/>
      <c r="J49" s="5">
        <f t="shared" si="1"/>
        <v>0.82929</v>
      </c>
    </row>
    <row r="50">
      <c r="A50" s="1" t="s">
        <v>37</v>
      </c>
      <c r="B50" s="1">
        <v>0.0</v>
      </c>
      <c r="D50" s="1">
        <v>105.285214</v>
      </c>
      <c r="E50" s="1">
        <v>49.0</v>
      </c>
      <c r="F50" s="1"/>
      <c r="J50" s="5">
        <f t="shared" si="1"/>
        <v>1.542684</v>
      </c>
    </row>
    <row r="51">
      <c r="A51" s="1" t="s">
        <v>575</v>
      </c>
      <c r="B51" s="1">
        <v>1.0</v>
      </c>
      <c r="D51" s="1">
        <v>109.451669</v>
      </c>
      <c r="E51" s="1">
        <v>50.0</v>
      </c>
      <c r="F51" s="1"/>
      <c r="J51" s="5">
        <f t="shared" si="1"/>
        <v>4.166455</v>
      </c>
    </row>
    <row r="52">
      <c r="A52" s="1" t="s">
        <v>37</v>
      </c>
      <c r="B52" s="1">
        <v>0.0</v>
      </c>
      <c r="D52" s="1">
        <v>109.463818</v>
      </c>
      <c r="E52" s="1">
        <v>51.0</v>
      </c>
      <c r="F52" s="1"/>
      <c r="J52" s="5">
        <f t="shared" si="1"/>
        <v>0.012149</v>
      </c>
    </row>
    <row r="53">
      <c r="A53" s="1" t="s">
        <v>37</v>
      </c>
      <c r="B53" s="1">
        <v>0.0</v>
      </c>
      <c r="D53" s="1">
        <v>111.533951</v>
      </c>
      <c r="E53" s="1">
        <v>52.0</v>
      </c>
      <c r="F53" s="1"/>
      <c r="J53" s="5">
        <f t="shared" si="1"/>
        <v>2.070133</v>
      </c>
    </row>
    <row r="54">
      <c r="A54" s="1" t="s">
        <v>37</v>
      </c>
      <c r="B54" s="1">
        <v>0.0</v>
      </c>
      <c r="D54" s="1">
        <v>121.864253</v>
      </c>
      <c r="E54" s="1">
        <v>53.0</v>
      </c>
      <c r="F54" s="1"/>
      <c r="J54" s="5">
        <f t="shared" si="1"/>
        <v>10.330302</v>
      </c>
    </row>
    <row r="55">
      <c r="A55" s="1" t="s">
        <v>37</v>
      </c>
      <c r="B55" s="1">
        <v>0.0</v>
      </c>
      <c r="D55" s="1">
        <v>127.065036</v>
      </c>
      <c r="E55" s="1">
        <v>54.0</v>
      </c>
      <c r="F55" s="1"/>
      <c r="J55" s="5">
        <f t="shared" si="1"/>
        <v>5.200783</v>
      </c>
    </row>
    <row r="56">
      <c r="A56" s="1" t="s">
        <v>576</v>
      </c>
      <c r="B56" s="1">
        <v>1.0</v>
      </c>
      <c r="D56" s="1">
        <v>127.110177</v>
      </c>
      <c r="E56" s="1">
        <v>55.0</v>
      </c>
      <c r="F56" s="1"/>
      <c r="J56" s="5">
        <f t="shared" si="1"/>
        <v>0.045141</v>
      </c>
    </row>
    <row r="57">
      <c r="A57" s="1" t="s">
        <v>37</v>
      </c>
      <c r="B57" s="1">
        <v>0.0</v>
      </c>
      <c r="D57" s="1">
        <v>127.229597</v>
      </c>
      <c r="E57" s="1">
        <v>56.0</v>
      </c>
      <c r="F57" s="1"/>
      <c r="J57" s="5">
        <f t="shared" si="1"/>
        <v>0.11942</v>
      </c>
    </row>
    <row r="58">
      <c r="A58" s="1" t="s">
        <v>577</v>
      </c>
      <c r="B58" s="1">
        <v>1.0</v>
      </c>
      <c r="D58" s="1">
        <v>130.354124</v>
      </c>
      <c r="E58" s="1">
        <v>57.0</v>
      </c>
      <c r="F58" s="1"/>
      <c r="J58" s="5">
        <f t="shared" si="1"/>
        <v>3.124527</v>
      </c>
    </row>
    <row r="59">
      <c r="A59" s="1" t="s">
        <v>37</v>
      </c>
      <c r="B59" s="1">
        <v>0.0</v>
      </c>
      <c r="D59" s="1">
        <v>130.94384</v>
      </c>
      <c r="E59" s="1">
        <v>58.0</v>
      </c>
      <c r="F59" s="1"/>
      <c r="J59" s="5">
        <f t="shared" si="1"/>
        <v>0.589716</v>
      </c>
    </row>
    <row r="60">
      <c r="A60" s="1" t="s">
        <v>37</v>
      </c>
      <c r="B60" s="1">
        <v>0.0</v>
      </c>
      <c r="D60" s="1">
        <v>132.555285</v>
      </c>
      <c r="E60" s="1">
        <v>59.0</v>
      </c>
      <c r="F60" s="1"/>
      <c r="J60" s="5">
        <f t="shared" si="1"/>
        <v>1.611445</v>
      </c>
    </row>
    <row r="61">
      <c r="A61" s="1" t="s">
        <v>37</v>
      </c>
      <c r="B61" s="1">
        <v>0.0</v>
      </c>
      <c r="D61" s="1">
        <v>134.738267</v>
      </c>
      <c r="E61" s="1">
        <v>60.0</v>
      </c>
      <c r="F61" s="1"/>
      <c r="J61" s="5">
        <f t="shared" si="1"/>
        <v>2.182982</v>
      </c>
    </row>
    <row r="62">
      <c r="A62" s="1" t="s">
        <v>37</v>
      </c>
      <c r="B62" s="1">
        <v>0.0</v>
      </c>
      <c r="D62" s="1">
        <v>136.767698</v>
      </c>
      <c r="E62" s="1">
        <v>61.0</v>
      </c>
      <c r="F62" s="1"/>
      <c r="J62" s="5">
        <f t="shared" si="1"/>
        <v>2.029431</v>
      </c>
    </row>
    <row r="63">
      <c r="A63" s="1" t="s">
        <v>578</v>
      </c>
      <c r="B63" s="1">
        <v>1.0</v>
      </c>
      <c r="D63" s="1">
        <v>138.378501</v>
      </c>
      <c r="E63" s="1">
        <v>62.0</v>
      </c>
      <c r="F63" s="1"/>
      <c r="J63" s="5">
        <f t="shared" si="1"/>
        <v>1.610803</v>
      </c>
    </row>
    <row r="64">
      <c r="A64" s="1" t="s">
        <v>37</v>
      </c>
      <c r="B64" s="1">
        <v>0.0</v>
      </c>
      <c r="D64" s="1">
        <v>138.735857</v>
      </c>
      <c r="E64" s="1">
        <v>63.0</v>
      </c>
      <c r="F64" s="1"/>
      <c r="J64" s="5">
        <f t="shared" si="1"/>
        <v>0.357356</v>
      </c>
    </row>
    <row r="65">
      <c r="A65" s="1" t="s">
        <v>37</v>
      </c>
      <c r="B65" s="1">
        <v>0.0</v>
      </c>
      <c r="D65" s="1">
        <v>140.642461</v>
      </c>
      <c r="E65" s="1">
        <v>64.0</v>
      </c>
      <c r="F65" s="1"/>
      <c r="J65" s="5">
        <f t="shared" si="1"/>
        <v>1.906604</v>
      </c>
    </row>
    <row r="66">
      <c r="A66" s="1" t="s">
        <v>37</v>
      </c>
      <c r="B66" s="1">
        <v>0.0</v>
      </c>
      <c r="D66" s="1">
        <v>141.506727</v>
      </c>
      <c r="E66" s="1">
        <v>65.0</v>
      </c>
      <c r="F66" s="1"/>
      <c r="J66" s="5">
        <f t="shared" si="1"/>
        <v>0.864266</v>
      </c>
    </row>
    <row r="67">
      <c r="A67" s="1" t="s">
        <v>37</v>
      </c>
      <c r="B67" s="1">
        <v>0.0</v>
      </c>
      <c r="D67" s="1">
        <v>143.456193</v>
      </c>
      <c r="E67" s="1">
        <v>66.0</v>
      </c>
      <c r="F67" s="1"/>
      <c r="J67" s="5">
        <f t="shared" si="1"/>
        <v>1.949466</v>
      </c>
    </row>
    <row r="68">
      <c r="A68" s="1" t="s">
        <v>37</v>
      </c>
      <c r="B68" s="1">
        <v>0.0</v>
      </c>
      <c r="D68" s="1">
        <v>145.000137</v>
      </c>
      <c r="E68" s="1">
        <v>67.0</v>
      </c>
      <c r="F68" s="1"/>
      <c r="J68" s="5">
        <f t="shared" si="1"/>
        <v>1.543944</v>
      </c>
    </row>
    <row r="69">
      <c r="A69" s="1" t="s">
        <v>579</v>
      </c>
      <c r="B69" s="1">
        <v>1.0</v>
      </c>
      <c r="D69" s="1">
        <v>147.607537</v>
      </c>
      <c r="E69" s="1">
        <v>68.0</v>
      </c>
      <c r="F69" s="1"/>
      <c r="J69" s="5">
        <f t="shared" si="1"/>
        <v>2.6074</v>
      </c>
    </row>
    <row r="70">
      <c r="A70" s="1" t="s">
        <v>37</v>
      </c>
      <c r="B70" s="1">
        <v>0.0</v>
      </c>
      <c r="D70" s="1">
        <v>148.002812</v>
      </c>
      <c r="E70" s="1">
        <v>69.0</v>
      </c>
      <c r="F70" s="1"/>
      <c r="J70" s="5">
        <f t="shared" si="1"/>
        <v>0.395275</v>
      </c>
    </row>
    <row r="71">
      <c r="A71" s="1" t="s">
        <v>580</v>
      </c>
      <c r="B71" s="1">
        <v>2.0</v>
      </c>
      <c r="D71" s="1">
        <v>148.827358</v>
      </c>
      <c r="E71" s="1">
        <v>70.0</v>
      </c>
      <c r="F71" s="1"/>
      <c r="J71" s="5">
        <f t="shared" si="1"/>
        <v>0.824546</v>
      </c>
    </row>
    <row r="72">
      <c r="A72" s="1" t="s">
        <v>37</v>
      </c>
      <c r="B72" s="1">
        <v>0.0</v>
      </c>
      <c r="D72" s="1">
        <v>153.230658</v>
      </c>
      <c r="E72" s="1">
        <v>71.0</v>
      </c>
      <c r="F72" s="1"/>
      <c r="J72" s="5">
        <f t="shared" si="1"/>
        <v>4.4033</v>
      </c>
    </row>
    <row r="73">
      <c r="A73" s="1" t="s">
        <v>581</v>
      </c>
      <c r="B73" s="1">
        <v>1.0</v>
      </c>
      <c r="D73" s="1">
        <v>154.618639</v>
      </c>
      <c r="E73" s="1">
        <v>72.0</v>
      </c>
      <c r="F73" s="1"/>
      <c r="J73" s="5">
        <f t="shared" si="1"/>
        <v>1.387981</v>
      </c>
    </row>
    <row r="74">
      <c r="A74" s="1" t="s">
        <v>582</v>
      </c>
      <c r="B74" s="1">
        <v>1.0</v>
      </c>
      <c r="D74" s="1">
        <v>154.812603</v>
      </c>
      <c r="E74" s="1">
        <v>73.0</v>
      </c>
      <c r="F74" s="1"/>
      <c r="J74" s="5">
        <f t="shared" si="1"/>
        <v>0.193964</v>
      </c>
    </row>
    <row r="75">
      <c r="A75" s="1" t="s">
        <v>37</v>
      </c>
      <c r="B75" s="1">
        <v>0.0</v>
      </c>
      <c r="D75" s="1">
        <v>156.503568</v>
      </c>
      <c r="E75" s="1">
        <v>74.0</v>
      </c>
      <c r="F75" s="1"/>
      <c r="J75" s="5">
        <f t="shared" si="1"/>
        <v>1.690965</v>
      </c>
    </row>
    <row r="76">
      <c r="A76" s="1" t="s">
        <v>37</v>
      </c>
      <c r="B76" s="1">
        <v>0.0</v>
      </c>
      <c r="D76" s="1">
        <v>157.43771</v>
      </c>
      <c r="E76" s="1">
        <v>75.0</v>
      </c>
      <c r="F76" s="1"/>
      <c r="J76" s="5">
        <f t="shared" si="1"/>
        <v>0.934142</v>
      </c>
    </row>
    <row r="77">
      <c r="A77" s="1" t="s">
        <v>583</v>
      </c>
      <c r="B77" s="1">
        <v>1.0</v>
      </c>
      <c r="D77" s="1">
        <v>158.921088</v>
      </c>
      <c r="E77" s="1">
        <v>76.0</v>
      </c>
      <c r="F77" s="1"/>
      <c r="J77" s="5">
        <f t="shared" si="1"/>
        <v>1.483378</v>
      </c>
    </row>
    <row r="78">
      <c r="A78" s="1" t="s">
        <v>584</v>
      </c>
      <c r="B78" s="1">
        <v>1.0</v>
      </c>
      <c r="D78" s="1">
        <v>160.901</v>
      </c>
      <c r="E78" s="1">
        <v>77.0</v>
      </c>
      <c r="F78" s="1"/>
      <c r="J78" s="5">
        <f t="shared" si="1"/>
        <v>1.979912</v>
      </c>
    </row>
    <row r="79">
      <c r="A79" s="1" t="s">
        <v>37</v>
      </c>
      <c r="B79" s="1">
        <v>0.0</v>
      </c>
      <c r="D79" s="1">
        <v>171.075149</v>
      </c>
      <c r="E79" s="1">
        <v>78.0</v>
      </c>
      <c r="F79" s="1"/>
      <c r="J79" s="5">
        <f t="shared" si="1"/>
        <v>10.174149</v>
      </c>
    </row>
    <row r="80">
      <c r="A80" s="1" t="s">
        <v>585</v>
      </c>
      <c r="B80" s="1">
        <v>1.0</v>
      </c>
      <c r="D80" s="1">
        <v>173.838611</v>
      </c>
      <c r="E80" s="1">
        <v>79.0</v>
      </c>
      <c r="F80" s="1"/>
      <c r="J80" s="5">
        <f t="shared" si="1"/>
        <v>2.763462</v>
      </c>
    </row>
    <row r="81">
      <c r="A81" s="1" t="s">
        <v>37</v>
      </c>
      <c r="B81" s="1">
        <v>0.0</v>
      </c>
      <c r="D81" s="1">
        <v>174.913107</v>
      </c>
      <c r="E81" s="1">
        <v>80.0</v>
      </c>
      <c r="F81" s="1"/>
      <c r="J81" s="5">
        <f t="shared" si="1"/>
        <v>1.074496</v>
      </c>
    </row>
    <row r="82">
      <c r="A82" s="1" t="s">
        <v>37</v>
      </c>
      <c r="B82" s="1">
        <v>0.0</v>
      </c>
      <c r="D82" s="1">
        <v>176.53022</v>
      </c>
      <c r="E82" s="1">
        <v>81.0</v>
      </c>
      <c r="F82" s="1"/>
      <c r="J82" s="5">
        <f t="shared" si="1"/>
        <v>1.617113</v>
      </c>
    </row>
    <row r="83">
      <c r="A83" s="1" t="s">
        <v>586</v>
      </c>
      <c r="B83" s="1">
        <v>1.0</v>
      </c>
      <c r="D83" s="1">
        <v>177.360497</v>
      </c>
      <c r="E83" s="1">
        <v>82.0</v>
      </c>
      <c r="F83" s="1"/>
      <c r="J83" s="5">
        <f t="shared" si="1"/>
        <v>0.830277</v>
      </c>
    </row>
    <row r="84">
      <c r="A84" s="1" t="s">
        <v>37</v>
      </c>
      <c r="B84" s="1">
        <v>0.0</v>
      </c>
      <c r="D84" s="1">
        <v>179.108855</v>
      </c>
      <c r="E84" s="1">
        <v>83.0</v>
      </c>
      <c r="F84" s="1"/>
      <c r="J84" s="5">
        <f t="shared" si="1"/>
        <v>1.748358</v>
      </c>
    </row>
    <row r="85">
      <c r="A85" s="1" t="s">
        <v>587</v>
      </c>
      <c r="B85" s="1">
        <v>1.0</v>
      </c>
      <c r="D85" s="1">
        <v>184.162007</v>
      </c>
      <c r="E85" s="1">
        <v>84.0</v>
      </c>
      <c r="F85" s="1"/>
      <c r="J85" s="5">
        <f t="shared" si="1"/>
        <v>5.053152</v>
      </c>
    </row>
    <row r="86">
      <c r="A86" s="1" t="s">
        <v>588</v>
      </c>
      <c r="B86" s="1">
        <v>2.0</v>
      </c>
      <c r="D86" s="1">
        <v>196.861763</v>
      </c>
      <c r="E86" s="1">
        <v>85.0</v>
      </c>
      <c r="F86" s="1"/>
      <c r="J86" s="5">
        <f t="shared" si="1"/>
        <v>12.699756</v>
      </c>
    </row>
    <row r="87">
      <c r="A87" s="1" t="s">
        <v>37</v>
      </c>
      <c r="B87" s="1">
        <v>0.0</v>
      </c>
      <c r="D87" s="1">
        <v>197.97093</v>
      </c>
      <c r="E87" s="1">
        <v>86.0</v>
      </c>
      <c r="F87" s="1"/>
      <c r="J87" s="5">
        <f t="shared" si="1"/>
        <v>1.109167</v>
      </c>
    </row>
    <row r="88">
      <c r="A88" s="1" t="s">
        <v>37</v>
      </c>
      <c r="B88" s="1">
        <v>0.0</v>
      </c>
      <c r="D88" s="1">
        <v>199.64673</v>
      </c>
      <c r="E88" s="1">
        <v>87.0</v>
      </c>
      <c r="F88" s="1"/>
      <c r="J88" s="5">
        <f t="shared" si="1"/>
        <v>1.6758</v>
      </c>
    </row>
    <row r="89">
      <c r="A89" s="1" t="s">
        <v>37</v>
      </c>
      <c r="B89" s="1">
        <v>0.0</v>
      </c>
      <c r="D89" s="1">
        <v>199.701571</v>
      </c>
      <c r="E89" s="1">
        <v>88.0</v>
      </c>
      <c r="F89" s="1"/>
      <c r="J89" s="5">
        <f t="shared" si="1"/>
        <v>0.054841</v>
      </c>
    </row>
    <row r="90">
      <c r="A90" s="1" t="s">
        <v>589</v>
      </c>
      <c r="B90" s="1">
        <v>1.0</v>
      </c>
      <c r="D90" s="1">
        <v>200.987728</v>
      </c>
      <c r="E90" s="1">
        <v>89.0</v>
      </c>
      <c r="F90" s="1"/>
      <c r="J90" s="5">
        <f t="shared" si="1"/>
        <v>1.286157</v>
      </c>
    </row>
    <row r="91">
      <c r="A91" s="1" t="s">
        <v>37</v>
      </c>
      <c r="B91" s="1">
        <v>0.0</v>
      </c>
      <c r="D91" s="1">
        <v>201.986944</v>
      </c>
      <c r="E91" s="1">
        <v>90.0</v>
      </c>
      <c r="F91" s="1"/>
      <c r="J91" s="5">
        <f t="shared" si="1"/>
        <v>0.999216</v>
      </c>
    </row>
    <row r="92">
      <c r="A92" s="1" t="s">
        <v>37</v>
      </c>
      <c r="B92" s="1">
        <v>0.0</v>
      </c>
      <c r="D92" s="1">
        <v>203.224191</v>
      </c>
      <c r="E92" s="1">
        <v>91.0</v>
      </c>
      <c r="F92" s="1"/>
      <c r="J92" s="5">
        <f t="shared" si="1"/>
        <v>1.237247</v>
      </c>
    </row>
    <row r="93">
      <c r="A93" s="1" t="s">
        <v>590</v>
      </c>
      <c r="B93" s="1">
        <v>1.0</v>
      </c>
      <c r="D93" s="1">
        <v>203.594129</v>
      </c>
      <c r="E93" s="1">
        <v>92.0</v>
      </c>
      <c r="F93" s="1"/>
      <c r="J93" s="5">
        <f t="shared" si="1"/>
        <v>0.369938</v>
      </c>
    </row>
    <row r="94">
      <c r="A94" s="1" t="s">
        <v>37</v>
      </c>
      <c r="B94" s="1">
        <v>0.0</v>
      </c>
      <c r="D94" s="1">
        <v>205.174089</v>
      </c>
      <c r="E94" s="1">
        <v>93.0</v>
      </c>
      <c r="F94" s="1"/>
      <c r="J94" s="5">
        <f t="shared" si="1"/>
        <v>1.57996</v>
      </c>
    </row>
    <row r="95">
      <c r="A95" s="1" t="s">
        <v>37</v>
      </c>
      <c r="B95" s="1">
        <v>0.0</v>
      </c>
      <c r="D95" s="1">
        <v>209.277528</v>
      </c>
      <c r="E95" s="1">
        <v>94.0</v>
      </c>
      <c r="F95" s="1"/>
      <c r="J95" s="5">
        <f t="shared" si="1"/>
        <v>4.103439</v>
      </c>
    </row>
    <row r="96">
      <c r="A96" s="1" t="s">
        <v>37</v>
      </c>
      <c r="B96" s="1">
        <v>0.0</v>
      </c>
      <c r="D96" s="1">
        <v>214.286625</v>
      </c>
      <c r="E96" s="1">
        <v>95.0</v>
      </c>
      <c r="F96" s="1"/>
      <c r="J96" s="5">
        <f t="shared" si="1"/>
        <v>5.009097</v>
      </c>
    </row>
    <row r="97">
      <c r="A97" s="1" t="s">
        <v>37</v>
      </c>
      <c r="B97" s="1">
        <v>0.0</v>
      </c>
      <c r="D97" s="1">
        <v>216.732049</v>
      </c>
      <c r="E97" s="1">
        <v>96.0</v>
      </c>
      <c r="F97" s="1"/>
      <c r="J97" s="5">
        <f t="shared" si="1"/>
        <v>2.445424</v>
      </c>
    </row>
    <row r="98">
      <c r="A98" s="1" t="s">
        <v>37</v>
      </c>
      <c r="B98" s="1">
        <v>0.0</v>
      </c>
      <c r="D98" s="1">
        <v>217.199604</v>
      </c>
      <c r="E98" s="1">
        <v>97.0</v>
      </c>
      <c r="F98" s="1"/>
      <c r="J98" s="5">
        <f t="shared" si="1"/>
        <v>0.467555</v>
      </c>
    </row>
    <row r="99">
      <c r="A99" s="1" t="s">
        <v>37</v>
      </c>
      <c r="B99" s="1">
        <v>0.0</v>
      </c>
      <c r="D99" s="1">
        <v>217.663367</v>
      </c>
      <c r="E99" s="1">
        <v>98.0</v>
      </c>
      <c r="F99" s="1"/>
      <c r="J99" s="5">
        <f t="shared" si="1"/>
        <v>0.463763</v>
      </c>
    </row>
    <row r="100">
      <c r="A100" s="1" t="s">
        <v>37</v>
      </c>
      <c r="B100" s="1">
        <v>0.0</v>
      </c>
      <c r="D100" s="1">
        <v>218.091408</v>
      </c>
      <c r="E100" s="1">
        <v>99.0</v>
      </c>
      <c r="F100" s="1"/>
      <c r="J100" s="5">
        <f t="shared" si="1"/>
        <v>0.428041</v>
      </c>
    </row>
    <row r="101">
      <c r="A101" s="1" t="s">
        <v>37</v>
      </c>
      <c r="B101" s="1">
        <v>0.0</v>
      </c>
      <c r="D101" s="1">
        <v>220.38076</v>
      </c>
      <c r="E101" s="1">
        <v>100.0</v>
      </c>
      <c r="F101" s="1"/>
      <c r="J101" s="5">
        <f t="shared" si="1"/>
        <v>2.289352</v>
      </c>
    </row>
    <row r="102">
      <c r="A102" s="1" t="s">
        <v>37</v>
      </c>
      <c r="B102" s="1">
        <v>0.0</v>
      </c>
      <c r="D102" s="1">
        <v>222.800506</v>
      </c>
      <c r="E102" s="1">
        <v>101.0</v>
      </c>
      <c r="F102" s="1"/>
      <c r="J102" s="5">
        <f t="shared" si="1"/>
        <v>2.419746</v>
      </c>
    </row>
    <row r="103">
      <c r="A103" s="1" t="s">
        <v>591</v>
      </c>
      <c r="B103" s="1">
        <v>1.0</v>
      </c>
      <c r="D103" s="1">
        <v>223.579442</v>
      </c>
      <c r="E103" s="1">
        <v>102.0</v>
      </c>
      <c r="F103" s="1"/>
      <c r="J103" s="5">
        <f t="shared" si="1"/>
        <v>0.778936</v>
      </c>
    </row>
    <row r="104">
      <c r="A104" s="1" t="s">
        <v>592</v>
      </c>
      <c r="B104" s="1">
        <v>1.0</v>
      </c>
      <c r="D104" s="1">
        <v>223.923927</v>
      </c>
      <c r="E104" s="1">
        <v>103.0</v>
      </c>
      <c r="F104" s="1"/>
      <c r="J104" s="5">
        <f t="shared" si="1"/>
        <v>0.344485</v>
      </c>
    </row>
    <row r="105">
      <c r="A105" s="1" t="s">
        <v>37</v>
      </c>
      <c r="B105" s="1">
        <v>0.0</v>
      </c>
      <c r="D105" s="1">
        <v>224.589541</v>
      </c>
      <c r="E105" s="1">
        <v>104.0</v>
      </c>
      <c r="F105" s="1"/>
      <c r="J105" s="5">
        <f t="shared" si="1"/>
        <v>0.665614</v>
      </c>
    </row>
    <row r="106">
      <c r="A106" s="1" t="s">
        <v>593</v>
      </c>
      <c r="B106" s="1">
        <v>1.0</v>
      </c>
      <c r="D106" s="1">
        <v>224.889771</v>
      </c>
      <c r="E106" s="1">
        <v>105.0</v>
      </c>
      <c r="F106" s="1"/>
      <c r="J106" s="5">
        <f t="shared" si="1"/>
        <v>0.30023</v>
      </c>
    </row>
    <row r="107">
      <c r="A107" s="1" t="s">
        <v>37</v>
      </c>
      <c r="B107" s="1">
        <v>0.0</v>
      </c>
      <c r="D107" s="1">
        <v>230.508336</v>
      </c>
      <c r="E107" s="1">
        <v>106.0</v>
      </c>
      <c r="F107" s="1"/>
      <c r="J107" s="5">
        <f t="shared" si="1"/>
        <v>5.618565</v>
      </c>
    </row>
    <row r="108">
      <c r="A108" s="1" t="s">
        <v>37</v>
      </c>
      <c r="B108" s="1">
        <v>0.0</v>
      </c>
      <c r="D108" s="1">
        <v>235.593019</v>
      </c>
      <c r="E108" s="1">
        <v>107.0</v>
      </c>
      <c r="F108" s="1"/>
      <c r="J108" s="5">
        <f t="shared" si="1"/>
        <v>5.084683</v>
      </c>
    </row>
    <row r="109">
      <c r="A109" s="1" t="s">
        <v>37</v>
      </c>
      <c r="B109" s="1">
        <v>0.0</v>
      </c>
      <c r="D109" s="1">
        <v>235.892127</v>
      </c>
      <c r="E109" s="1">
        <v>108.0</v>
      </c>
      <c r="F109" s="1"/>
      <c r="J109" s="5">
        <f t="shared" si="1"/>
        <v>0.299108</v>
      </c>
    </row>
    <row r="110">
      <c r="A110" s="1" t="s">
        <v>594</v>
      </c>
      <c r="B110" s="1">
        <v>2.0</v>
      </c>
      <c r="D110" s="1">
        <v>237.398665</v>
      </c>
      <c r="E110" s="1">
        <v>109.0</v>
      </c>
      <c r="F110" s="1"/>
      <c r="J110" s="5">
        <f t="shared" si="1"/>
        <v>1.506538</v>
      </c>
    </row>
    <row r="111">
      <c r="A111" s="1" t="s">
        <v>37</v>
      </c>
      <c r="B111" s="1">
        <v>0.0</v>
      </c>
      <c r="D111" s="1">
        <v>237.894094</v>
      </c>
      <c r="E111" s="1">
        <v>110.0</v>
      </c>
      <c r="F111" s="1"/>
      <c r="J111" s="5">
        <f t="shared" si="1"/>
        <v>0.495429</v>
      </c>
    </row>
    <row r="112">
      <c r="A112" s="1" t="s">
        <v>595</v>
      </c>
      <c r="B112" s="1">
        <v>1.0</v>
      </c>
      <c r="D112" s="1">
        <v>238.465621</v>
      </c>
      <c r="E112" s="1">
        <v>111.0</v>
      </c>
      <c r="F112" s="1"/>
      <c r="J112" s="5">
        <f t="shared" si="1"/>
        <v>0.571527</v>
      </c>
    </row>
    <row r="113">
      <c r="A113" s="1" t="s">
        <v>37</v>
      </c>
      <c r="B113" s="1">
        <v>0.0</v>
      </c>
      <c r="D113" s="1">
        <v>238.98249</v>
      </c>
      <c r="E113" s="1">
        <v>112.0</v>
      </c>
      <c r="F113" s="1"/>
      <c r="J113" s="5">
        <f t="shared" si="1"/>
        <v>0.516869</v>
      </c>
    </row>
    <row r="114">
      <c r="A114" s="1" t="s">
        <v>37</v>
      </c>
      <c r="B114" s="1">
        <v>0.0</v>
      </c>
      <c r="D114" s="1">
        <v>239.420707</v>
      </c>
      <c r="E114" s="1">
        <v>113.0</v>
      </c>
      <c r="F114" s="1"/>
      <c r="J114" s="5">
        <f t="shared" si="1"/>
        <v>0.438217</v>
      </c>
    </row>
    <row r="115">
      <c r="A115" s="1" t="s">
        <v>37</v>
      </c>
      <c r="B115" s="1">
        <v>0.0</v>
      </c>
      <c r="D115" s="1">
        <v>239.452619</v>
      </c>
      <c r="E115" s="1">
        <v>114.0</v>
      </c>
      <c r="F115" s="1"/>
      <c r="J115" s="5">
        <f t="shared" si="1"/>
        <v>0.031912</v>
      </c>
    </row>
    <row r="116">
      <c r="A116" s="1" t="s">
        <v>37</v>
      </c>
      <c r="B116" s="1">
        <v>0.0</v>
      </c>
      <c r="D116" s="1">
        <v>241.397686</v>
      </c>
      <c r="E116" s="1">
        <v>115.0</v>
      </c>
      <c r="F116" s="1"/>
      <c r="J116" s="5">
        <f t="shared" si="1"/>
        <v>1.945067</v>
      </c>
    </row>
    <row r="117">
      <c r="A117" s="1" t="s">
        <v>37</v>
      </c>
      <c r="B117" s="1">
        <v>0.0</v>
      </c>
      <c r="D117" s="1">
        <v>242.571407</v>
      </c>
      <c r="E117" s="1">
        <v>116.0</v>
      </c>
      <c r="F117" s="1"/>
      <c r="J117" s="5">
        <f t="shared" si="1"/>
        <v>1.173721</v>
      </c>
    </row>
    <row r="118">
      <c r="A118" s="1" t="s">
        <v>37</v>
      </c>
      <c r="B118" s="1">
        <v>0.0</v>
      </c>
      <c r="D118" s="1">
        <v>245.108071</v>
      </c>
      <c r="E118" s="1">
        <v>117.0</v>
      </c>
      <c r="F118" s="1"/>
      <c r="J118" s="5">
        <f t="shared" si="1"/>
        <v>2.536664</v>
      </c>
    </row>
    <row r="119">
      <c r="A119" s="1" t="s">
        <v>37</v>
      </c>
      <c r="B119" s="1">
        <v>0.0</v>
      </c>
      <c r="D119" s="1">
        <v>246.413095</v>
      </c>
      <c r="E119" s="1">
        <v>118.0</v>
      </c>
      <c r="F119" s="1"/>
      <c r="J119" s="5">
        <f t="shared" si="1"/>
        <v>1.305024</v>
      </c>
    </row>
    <row r="120">
      <c r="A120" s="1" t="s">
        <v>37</v>
      </c>
      <c r="B120" s="1">
        <v>0.0</v>
      </c>
      <c r="D120" s="1">
        <v>249.996716</v>
      </c>
      <c r="E120" s="1">
        <v>119.0</v>
      </c>
      <c r="F120" s="1"/>
      <c r="J120" s="5">
        <f t="shared" si="1"/>
        <v>3.583621</v>
      </c>
    </row>
    <row r="121">
      <c r="A121" s="1" t="s">
        <v>37</v>
      </c>
      <c r="B121" s="1">
        <v>0.0</v>
      </c>
      <c r="D121" s="1">
        <v>250.426007</v>
      </c>
      <c r="E121" s="1">
        <v>120.0</v>
      </c>
      <c r="F121" s="1"/>
      <c r="J121" s="5">
        <f t="shared" si="1"/>
        <v>0.429291</v>
      </c>
    </row>
    <row r="122">
      <c r="A122" s="1" t="s">
        <v>596</v>
      </c>
      <c r="B122" s="1">
        <v>1.0</v>
      </c>
      <c r="D122" s="1">
        <v>251.186573</v>
      </c>
      <c r="E122" s="1">
        <v>121.0</v>
      </c>
      <c r="F122" s="1"/>
      <c r="J122" s="5">
        <f t="shared" si="1"/>
        <v>0.760566</v>
      </c>
    </row>
    <row r="123">
      <c r="A123" s="1" t="s">
        <v>37</v>
      </c>
      <c r="B123" s="1">
        <v>0.0</v>
      </c>
      <c r="D123" s="1">
        <v>253.542464</v>
      </c>
      <c r="E123" s="1">
        <v>122.0</v>
      </c>
      <c r="F123" s="1"/>
      <c r="J123" s="5">
        <f t="shared" si="1"/>
        <v>2.355891</v>
      </c>
    </row>
    <row r="124">
      <c r="A124" s="1" t="s">
        <v>37</v>
      </c>
      <c r="B124" s="1">
        <v>0.0</v>
      </c>
      <c r="D124" s="1">
        <v>254.79947</v>
      </c>
      <c r="E124" s="1">
        <v>123.0</v>
      </c>
      <c r="F124" s="1"/>
      <c r="J124" s="5">
        <f t="shared" si="1"/>
        <v>1.257006</v>
      </c>
    </row>
    <row r="125">
      <c r="A125" s="1" t="s">
        <v>37</v>
      </c>
      <c r="B125" s="1">
        <v>0.0</v>
      </c>
      <c r="D125" s="1">
        <v>264.108535</v>
      </c>
      <c r="E125" s="1">
        <v>124.0</v>
      </c>
      <c r="F125" s="1"/>
      <c r="J125" s="5">
        <f t="shared" si="1"/>
        <v>9.309065</v>
      </c>
    </row>
    <row r="126">
      <c r="A126" s="1" t="s">
        <v>37</v>
      </c>
      <c r="B126" s="1">
        <v>0.0</v>
      </c>
      <c r="D126" s="1">
        <v>267.150719</v>
      </c>
      <c r="E126" s="1">
        <v>125.0</v>
      </c>
      <c r="F126" s="1"/>
      <c r="J126" s="5">
        <f t="shared" si="1"/>
        <v>3.042184</v>
      </c>
    </row>
    <row r="127">
      <c r="A127" s="1" t="s">
        <v>37</v>
      </c>
      <c r="B127" s="1">
        <v>0.0</v>
      </c>
      <c r="D127" s="1">
        <v>268.790693</v>
      </c>
      <c r="E127" s="1">
        <v>126.0</v>
      </c>
      <c r="F127" s="1"/>
      <c r="J127" s="5">
        <f t="shared" si="1"/>
        <v>1.639974</v>
      </c>
    </row>
    <row r="128">
      <c r="A128" s="1" t="s">
        <v>597</v>
      </c>
      <c r="B128" s="1">
        <v>3.0</v>
      </c>
      <c r="D128" s="1">
        <v>272.475745</v>
      </c>
      <c r="E128" s="1">
        <v>127.0</v>
      </c>
      <c r="F128" s="1"/>
      <c r="J128" s="5">
        <f t="shared" si="1"/>
        <v>3.685052</v>
      </c>
    </row>
    <row r="129">
      <c r="A129" s="1" t="s">
        <v>37</v>
      </c>
      <c r="B129" s="1">
        <v>0.0</v>
      </c>
      <c r="D129" s="1">
        <v>272.671701</v>
      </c>
      <c r="E129" s="1">
        <v>128.0</v>
      </c>
      <c r="F129" s="1"/>
      <c r="J129" s="5">
        <f t="shared" si="1"/>
        <v>0.195956</v>
      </c>
    </row>
    <row r="130">
      <c r="A130" s="1" t="s">
        <v>37</v>
      </c>
      <c r="B130" s="1">
        <v>0.0</v>
      </c>
      <c r="D130" s="1">
        <v>273.459794</v>
      </c>
      <c r="E130" s="1">
        <v>129.0</v>
      </c>
      <c r="F130" s="1"/>
      <c r="J130" s="5">
        <f t="shared" si="1"/>
        <v>0.788093</v>
      </c>
    </row>
    <row r="131">
      <c r="A131" s="1" t="s">
        <v>598</v>
      </c>
      <c r="B131" s="1">
        <v>2.0</v>
      </c>
      <c r="D131" s="1">
        <v>277.297312</v>
      </c>
      <c r="E131" s="1">
        <v>130.0</v>
      </c>
      <c r="F131" s="1"/>
      <c r="J131" s="5">
        <f t="shared" si="1"/>
        <v>3.837518</v>
      </c>
    </row>
    <row r="132">
      <c r="A132" s="1" t="s">
        <v>37</v>
      </c>
      <c r="B132" s="1">
        <v>0.0</v>
      </c>
      <c r="D132" s="1">
        <v>281.550537</v>
      </c>
      <c r="E132" s="1">
        <v>131.0</v>
      </c>
      <c r="F132" s="1"/>
      <c r="J132" s="5">
        <f t="shared" si="1"/>
        <v>4.253225</v>
      </c>
    </row>
    <row r="133">
      <c r="A133" s="1" t="s">
        <v>599</v>
      </c>
      <c r="B133" s="1">
        <v>1.0</v>
      </c>
      <c r="D133" s="1">
        <v>284.7535</v>
      </c>
      <c r="E133" s="1">
        <v>132.0</v>
      </c>
      <c r="F133" s="1"/>
      <c r="J133" s="5">
        <f t="shared" si="1"/>
        <v>3.202963</v>
      </c>
    </row>
    <row r="134">
      <c r="A134" s="1" t="s">
        <v>37</v>
      </c>
      <c r="B134" s="1">
        <v>0.0</v>
      </c>
      <c r="D134" s="1">
        <v>287.134162</v>
      </c>
      <c r="E134" s="1">
        <v>133.0</v>
      </c>
      <c r="F134" s="1"/>
      <c r="J134" s="5">
        <f t="shared" si="1"/>
        <v>2.380662</v>
      </c>
    </row>
    <row r="135">
      <c r="A135" s="1" t="s">
        <v>600</v>
      </c>
      <c r="B135" s="1">
        <v>1.0</v>
      </c>
      <c r="D135" s="1">
        <v>287.310791</v>
      </c>
      <c r="E135" s="1">
        <v>134.0</v>
      </c>
      <c r="F135" s="1"/>
      <c r="J135" s="5">
        <f t="shared" si="1"/>
        <v>0.176629</v>
      </c>
    </row>
    <row r="136">
      <c r="A136" s="1" t="s">
        <v>37</v>
      </c>
      <c r="B136" s="1">
        <v>0.0</v>
      </c>
      <c r="D136" s="1">
        <v>287.500972</v>
      </c>
      <c r="E136" s="1">
        <v>135.0</v>
      </c>
      <c r="F136" s="1"/>
      <c r="J136" s="5">
        <f t="shared" si="1"/>
        <v>0.190181</v>
      </c>
    </row>
    <row r="137">
      <c r="A137" s="1" t="s">
        <v>601</v>
      </c>
      <c r="B137" s="1">
        <v>1.0</v>
      </c>
      <c r="D137" s="1">
        <v>287.626306</v>
      </c>
      <c r="E137" s="1">
        <v>136.0</v>
      </c>
      <c r="F137" s="1"/>
      <c r="J137" s="5">
        <f t="shared" si="1"/>
        <v>0.125334</v>
      </c>
    </row>
    <row r="138">
      <c r="A138" s="1" t="s">
        <v>37</v>
      </c>
      <c r="B138" s="1">
        <v>0.0</v>
      </c>
      <c r="D138" s="1">
        <v>289.31025</v>
      </c>
      <c r="E138" s="1">
        <v>137.0</v>
      </c>
      <c r="F138" s="1"/>
      <c r="J138" s="5">
        <f t="shared" si="1"/>
        <v>1.683944</v>
      </c>
    </row>
    <row r="139">
      <c r="A139" s="1" t="s">
        <v>602</v>
      </c>
      <c r="B139" s="1">
        <v>2.0</v>
      </c>
      <c r="D139" s="1">
        <v>290.821537</v>
      </c>
      <c r="E139" s="1">
        <v>138.0</v>
      </c>
      <c r="F139" s="1"/>
      <c r="J139" s="5">
        <f t="shared" si="1"/>
        <v>1.511287</v>
      </c>
    </row>
    <row r="140">
      <c r="A140" s="1" t="s">
        <v>37</v>
      </c>
      <c r="B140" s="1">
        <v>0.0</v>
      </c>
      <c r="D140" s="1">
        <v>293.095042</v>
      </c>
      <c r="E140" s="1">
        <v>139.0</v>
      </c>
      <c r="F140" s="1"/>
      <c r="J140" s="5">
        <f t="shared" si="1"/>
        <v>2.273505</v>
      </c>
    </row>
    <row r="141">
      <c r="A141" s="1" t="s">
        <v>603</v>
      </c>
      <c r="B141" s="1">
        <v>1.0</v>
      </c>
      <c r="D141" s="1">
        <v>296.846721</v>
      </c>
      <c r="E141" s="1">
        <v>140.0</v>
      </c>
      <c r="F141" s="1"/>
      <c r="J141" s="5">
        <f t="shared" si="1"/>
        <v>3.751679</v>
      </c>
    </row>
    <row r="142">
      <c r="A142" s="1" t="s">
        <v>604</v>
      </c>
      <c r="B142" s="1">
        <v>1.0</v>
      </c>
      <c r="D142" s="1">
        <v>298.194602</v>
      </c>
      <c r="E142" s="1">
        <v>141.0</v>
      </c>
      <c r="F142" s="1"/>
      <c r="J142" s="5">
        <f t="shared" si="1"/>
        <v>1.347881</v>
      </c>
    </row>
    <row r="143">
      <c r="A143" s="1" t="s">
        <v>37</v>
      </c>
      <c r="B143" s="1">
        <v>0.0</v>
      </c>
      <c r="D143" s="1">
        <v>298.659251</v>
      </c>
      <c r="E143" s="1">
        <v>142.0</v>
      </c>
      <c r="F143" s="1"/>
      <c r="J143" s="5">
        <f t="shared" si="1"/>
        <v>0.464649</v>
      </c>
    </row>
    <row r="144">
      <c r="A144" s="1" t="s">
        <v>605</v>
      </c>
      <c r="B144" s="1">
        <v>1.0</v>
      </c>
      <c r="D144" s="1">
        <v>298.786989</v>
      </c>
      <c r="E144" s="1">
        <v>143.0</v>
      </c>
      <c r="F144" s="1"/>
      <c r="J144" s="5">
        <f t="shared" si="1"/>
        <v>0.127738</v>
      </c>
    </row>
    <row r="145">
      <c r="A145" s="1" t="s">
        <v>37</v>
      </c>
      <c r="B145" s="1">
        <v>0.0</v>
      </c>
      <c r="D145" s="1">
        <v>299.632509</v>
      </c>
      <c r="E145" s="1">
        <v>144.0</v>
      </c>
      <c r="F145" s="1"/>
      <c r="J145" s="5">
        <f t="shared" si="1"/>
        <v>0.84552</v>
      </c>
    </row>
    <row r="146">
      <c r="A146" s="1" t="s">
        <v>606</v>
      </c>
      <c r="B146" s="1">
        <v>1.0</v>
      </c>
      <c r="D146" s="1">
        <v>300.458956</v>
      </c>
      <c r="E146" s="1">
        <v>145.0</v>
      </c>
      <c r="F146" s="1"/>
      <c r="J146" s="5">
        <f t="shared" si="1"/>
        <v>0.826447</v>
      </c>
    </row>
    <row r="147">
      <c r="A147" s="1" t="s">
        <v>37</v>
      </c>
      <c r="B147" s="1">
        <v>0.0</v>
      </c>
      <c r="D147" s="1">
        <v>301.00325</v>
      </c>
      <c r="E147" s="1">
        <v>146.0</v>
      </c>
      <c r="F147" s="1"/>
      <c r="J147" s="5">
        <f t="shared" si="1"/>
        <v>0.544294</v>
      </c>
    </row>
    <row r="148">
      <c r="A148" s="1" t="s">
        <v>607</v>
      </c>
      <c r="B148" s="1">
        <v>1.0</v>
      </c>
      <c r="D148" s="1">
        <v>301.891849</v>
      </c>
      <c r="E148" s="1">
        <v>147.0</v>
      </c>
      <c r="F148" s="1"/>
      <c r="J148" s="5">
        <f t="shared" si="1"/>
        <v>0.888599</v>
      </c>
    </row>
    <row r="149">
      <c r="A149" s="1" t="s">
        <v>608</v>
      </c>
      <c r="B149" s="1">
        <v>2.0</v>
      </c>
      <c r="D149" s="1">
        <v>305.569381</v>
      </c>
      <c r="E149" s="1">
        <v>148.0</v>
      </c>
      <c r="F149" s="1"/>
      <c r="J149" s="5">
        <f t="shared" si="1"/>
        <v>3.677532</v>
      </c>
    </row>
    <row r="150">
      <c r="A150" s="1" t="s">
        <v>37</v>
      </c>
      <c r="B150" s="1">
        <v>0.0</v>
      </c>
      <c r="D150" s="1">
        <v>306.768916</v>
      </c>
      <c r="E150" s="1">
        <v>149.0</v>
      </c>
      <c r="F150" s="1"/>
      <c r="J150" s="5">
        <f t="shared" si="1"/>
        <v>1.199535</v>
      </c>
    </row>
    <row r="151">
      <c r="A151" s="1" t="s">
        <v>37</v>
      </c>
      <c r="B151" s="1">
        <v>0.0</v>
      </c>
      <c r="D151" s="1">
        <v>309.118798</v>
      </c>
      <c r="E151" s="1">
        <v>150.0</v>
      </c>
      <c r="F151" s="1"/>
      <c r="J151" s="5">
        <f t="shared" si="1"/>
        <v>2.349882</v>
      </c>
    </row>
    <row r="152">
      <c r="A152" s="1" t="s">
        <v>37</v>
      </c>
      <c r="B152" s="1">
        <v>0.0</v>
      </c>
      <c r="D152" s="1">
        <v>309.562496</v>
      </c>
      <c r="E152" s="1">
        <v>151.0</v>
      </c>
      <c r="F152" s="1"/>
      <c r="J152" s="5">
        <f t="shared" si="1"/>
        <v>0.443698</v>
      </c>
    </row>
    <row r="153">
      <c r="A153" s="1" t="s">
        <v>37</v>
      </c>
      <c r="B153" s="1">
        <v>0.0</v>
      </c>
      <c r="D153" s="1">
        <v>310.527888</v>
      </c>
      <c r="E153" s="1">
        <v>152.0</v>
      </c>
      <c r="F153" s="1"/>
      <c r="J153" s="5">
        <f t="shared" si="1"/>
        <v>0.965392</v>
      </c>
    </row>
    <row r="154">
      <c r="A154" s="1" t="s">
        <v>609</v>
      </c>
      <c r="B154" s="1">
        <v>1.0</v>
      </c>
      <c r="D154" s="1">
        <v>310.833182</v>
      </c>
      <c r="E154" s="1">
        <v>153.0</v>
      </c>
      <c r="F154" s="1"/>
      <c r="J154" s="5">
        <f t="shared" si="1"/>
        <v>0.305294</v>
      </c>
    </row>
    <row r="155">
      <c r="A155" s="1" t="s">
        <v>610</v>
      </c>
      <c r="B155" s="1">
        <v>2.0</v>
      </c>
      <c r="D155" s="1">
        <v>312.276354</v>
      </c>
      <c r="E155" s="1">
        <v>154.0</v>
      </c>
      <c r="F155" s="1"/>
      <c r="J155" s="5">
        <f t="shared" si="1"/>
        <v>1.443172</v>
      </c>
    </row>
    <row r="156">
      <c r="A156" s="1" t="s">
        <v>37</v>
      </c>
      <c r="B156" s="1">
        <v>0.0</v>
      </c>
      <c r="D156" s="1">
        <v>314.514221</v>
      </c>
      <c r="E156" s="1">
        <v>155.0</v>
      </c>
      <c r="F156" s="1"/>
      <c r="J156" s="5">
        <f t="shared" si="1"/>
        <v>2.237867</v>
      </c>
    </row>
    <row r="157">
      <c r="A157" s="1" t="s">
        <v>611</v>
      </c>
      <c r="B157" s="1">
        <v>1.0</v>
      </c>
      <c r="D157" s="1">
        <v>316.878314</v>
      </c>
      <c r="E157" s="1">
        <v>156.0</v>
      </c>
      <c r="F157" s="1"/>
      <c r="J157" s="5">
        <f t="shared" si="1"/>
        <v>2.364093</v>
      </c>
    </row>
    <row r="158">
      <c r="A158" s="1" t="s">
        <v>612</v>
      </c>
      <c r="B158" s="1">
        <v>1.0</v>
      </c>
      <c r="D158" s="1">
        <v>318.50332</v>
      </c>
      <c r="E158" s="1">
        <v>157.0</v>
      </c>
      <c r="F158" s="1"/>
      <c r="J158" s="5">
        <f t="shared" si="1"/>
        <v>1.625006</v>
      </c>
    </row>
    <row r="159">
      <c r="A159" s="1" t="s">
        <v>613</v>
      </c>
      <c r="B159" s="1">
        <v>1.0</v>
      </c>
      <c r="D159" s="1">
        <v>320.90929</v>
      </c>
      <c r="E159" s="1">
        <v>158.0</v>
      </c>
      <c r="F159" s="1"/>
      <c r="J159" s="5">
        <f t="shared" si="1"/>
        <v>2.40597</v>
      </c>
    </row>
    <row r="160">
      <c r="A160" s="1" t="s">
        <v>37</v>
      </c>
      <c r="B160" s="1">
        <v>0.0</v>
      </c>
      <c r="D160" s="1">
        <v>321.696772</v>
      </c>
      <c r="E160" s="1">
        <v>159.0</v>
      </c>
      <c r="F160" s="1"/>
      <c r="J160" s="5">
        <f t="shared" si="1"/>
        <v>0.787482</v>
      </c>
    </row>
    <row r="161">
      <c r="A161" s="1" t="s">
        <v>614</v>
      </c>
      <c r="B161" s="1">
        <v>1.0</v>
      </c>
      <c r="D161" s="1">
        <v>325.272768</v>
      </c>
      <c r="E161" s="1">
        <v>160.0</v>
      </c>
      <c r="F161" s="1"/>
      <c r="J161" s="5">
        <f t="shared" si="1"/>
        <v>3.575996</v>
      </c>
    </row>
    <row r="162">
      <c r="A162" s="1" t="s">
        <v>37</v>
      </c>
      <c r="B162" s="1">
        <v>0.0</v>
      </c>
      <c r="D162" s="1">
        <v>325.841849</v>
      </c>
      <c r="E162" s="1">
        <v>161.0</v>
      </c>
      <c r="F162" s="1"/>
      <c r="J162" s="5">
        <f t="shared" si="1"/>
        <v>0.569081</v>
      </c>
    </row>
    <row r="163">
      <c r="A163" s="1" t="s">
        <v>37</v>
      </c>
      <c r="B163" s="1">
        <v>0.0</v>
      </c>
      <c r="D163" s="1">
        <v>326.006624</v>
      </c>
      <c r="E163" s="1">
        <v>162.0</v>
      </c>
      <c r="F163" s="1"/>
      <c r="J163" s="5">
        <f t="shared" si="1"/>
        <v>0.164775</v>
      </c>
    </row>
    <row r="164">
      <c r="A164" s="1" t="s">
        <v>37</v>
      </c>
      <c r="B164" s="1">
        <v>0.0</v>
      </c>
      <c r="D164" s="1">
        <v>326.363305</v>
      </c>
      <c r="E164" s="1">
        <v>163.0</v>
      </c>
      <c r="F164" s="1"/>
      <c r="J164" s="5">
        <f t="shared" si="1"/>
        <v>0.356681</v>
      </c>
    </row>
    <row r="165">
      <c r="A165" s="1" t="s">
        <v>37</v>
      </c>
      <c r="B165" s="1">
        <v>0.0</v>
      </c>
      <c r="D165" s="1">
        <v>327.037873</v>
      </c>
      <c r="E165" s="1">
        <v>164.0</v>
      </c>
      <c r="F165" s="1"/>
      <c r="J165" s="5">
        <f t="shared" si="1"/>
        <v>0.674568</v>
      </c>
    </row>
    <row r="166">
      <c r="A166" s="1" t="s">
        <v>37</v>
      </c>
      <c r="B166" s="1">
        <v>0.0</v>
      </c>
      <c r="D166" s="1">
        <v>328.162197</v>
      </c>
      <c r="E166" s="1">
        <v>165.0</v>
      </c>
      <c r="F166" s="1"/>
      <c r="J166" s="5">
        <f t="shared" si="1"/>
        <v>1.124324</v>
      </c>
    </row>
    <row r="167">
      <c r="A167" s="1" t="s">
        <v>37</v>
      </c>
      <c r="B167" s="1">
        <v>0.0</v>
      </c>
      <c r="D167" s="1">
        <v>332.120745</v>
      </c>
      <c r="E167" s="1">
        <v>166.0</v>
      </c>
      <c r="F167" s="1"/>
      <c r="J167" s="5">
        <f t="shared" si="1"/>
        <v>3.958548</v>
      </c>
    </row>
    <row r="168">
      <c r="A168" s="1" t="s">
        <v>37</v>
      </c>
      <c r="B168" s="1">
        <v>0.0</v>
      </c>
      <c r="D168" s="1">
        <v>335.231271</v>
      </c>
      <c r="E168" s="1">
        <v>167.0</v>
      </c>
      <c r="F168" s="1"/>
      <c r="J168" s="5">
        <f t="shared" si="1"/>
        <v>3.110526</v>
      </c>
    </row>
    <row r="169">
      <c r="A169" s="1" t="s">
        <v>37</v>
      </c>
      <c r="B169" s="1">
        <v>0.0</v>
      </c>
      <c r="D169" s="1">
        <v>335.65414</v>
      </c>
      <c r="E169" s="1">
        <v>168.0</v>
      </c>
      <c r="F169" s="1"/>
      <c r="J169" s="5">
        <f t="shared" si="1"/>
        <v>0.422869</v>
      </c>
    </row>
    <row r="170">
      <c r="A170" s="1" t="s">
        <v>37</v>
      </c>
      <c r="B170" s="1">
        <v>0.0</v>
      </c>
      <c r="D170" s="1">
        <v>336.204641</v>
      </c>
      <c r="E170" s="1">
        <v>169.0</v>
      </c>
      <c r="F170" s="1"/>
      <c r="J170" s="5">
        <f t="shared" si="1"/>
        <v>0.550501</v>
      </c>
    </row>
    <row r="171">
      <c r="A171" s="1" t="s">
        <v>37</v>
      </c>
      <c r="B171" s="1">
        <v>0.0</v>
      </c>
      <c r="D171" s="1">
        <v>337.828823</v>
      </c>
      <c r="E171" s="1">
        <v>170.0</v>
      </c>
      <c r="F171" s="1"/>
      <c r="J171" s="5">
        <f t="shared" si="1"/>
        <v>1.624182</v>
      </c>
    </row>
    <row r="172">
      <c r="A172" s="1" t="s">
        <v>615</v>
      </c>
      <c r="B172" s="1">
        <v>1.0</v>
      </c>
      <c r="D172" s="1">
        <v>338.297971</v>
      </c>
      <c r="E172" s="1">
        <v>171.0</v>
      </c>
      <c r="F172" s="1"/>
      <c r="J172" s="5">
        <f t="shared" si="1"/>
        <v>0.469148</v>
      </c>
    </row>
    <row r="173">
      <c r="A173" s="1" t="s">
        <v>37</v>
      </c>
      <c r="B173" s="1">
        <v>0.0</v>
      </c>
      <c r="D173" s="1">
        <v>344.882219</v>
      </c>
      <c r="E173" s="1">
        <v>172.0</v>
      </c>
      <c r="F173" s="1"/>
      <c r="J173" s="5">
        <f t="shared" si="1"/>
        <v>6.584248</v>
      </c>
    </row>
    <row r="174">
      <c r="A174" s="1" t="s">
        <v>616</v>
      </c>
      <c r="B174" s="1">
        <v>1.0</v>
      </c>
      <c r="D174" s="1">
        <v>348.32298</v>
      </c>
      <c r="E174" s="1">
        <v>173.0</v>
      </c>
      <c r="F174" s="1"/>
      <c r="J174" s="5">
        <f t="shared" si="1"/>
        <v>3.440761</v>
      </c>
    </row>
    <row r="175">
      <c r="A175" s="1" t="s">
        <v>617</v>
      </c>
      <c r="B175" s="1">
        <v>1.0</v>
      </c>
      <c r="D175" s="1">
        <v>349.902251</v>
      </c>
      <c r="E175" s="1">
        <v>174.0</v>
      </c>
      <c r="F175" s="1"/>
      <c r="J175" s="5">
        <f t="shared" si="1"/>
        <v>1.579271</v>
      </c>
    </row>
    <row r="176">
      <c r="A176" s="1" t="s">
        <v>37</v>
      </c>
      <c r="B176" s="1">
        <v>0.0</v>
      </c>
      <c r="D176" s="1">
        <v>352.242495</v>
      </c>
      <c r="E176" s="1">
        <v>175.0</v>
      </c>
      <c r="F176" s="1"/>
      <c r="J176" s="5">
        <f t="shared" si="1"/>
        <v>2.340244</v>
      </c>
    </row>
    <row r="177">
      <c r="A177" s="1" t="s">
        <v>618</v>
      </c>
      <c r="B177" s="1">
        <v>1.0</v>
      </c>
      <c r="D177" s="1">
        <v>352.548931</v>
      </c>
      <c r="E177" s="1">
        <v>176.0</v>
      </c>
      <c r="F177" s="1"/>
      <c r="J177" s="5">
        <f t="shared" si="1"/>
        <v>0.306436</v>
      </c>
    </row>
    <row r="178">
      <c r="A178" s="1" t="s">
        <v>619</v>
      </c>
      <c r="B178" s="1">
        <v>1.0</v>
      </c>
      <c r="D178" s="1">
        <v>353.083778</v>
      </c>
      <c r="E178" s="1">
        <v>177.0</v>
      </c>
      <c r="F178" s="1"/>
      <c r="J178" s="5">
        <f t="shared" si="1"/>
        <v>0.534847</v>
      </c>
    </row>
    <row r="179">
      <c r="A179" s="1" t="s">
        <v>37</v>
      </c>
      <c r="B179" s="1">
        <v>0.0</v>
      </c>
      <c r="D179" s="1">
        <v>356.021018</v>
      </c>
      <c r="E179" s="1">
        <v>178.0</v>
      </c>
      <c r="F179" s="1"/>
      <c r="J179" s="5">
        <f t="shared" si="1"/>
        <v>2.93724</v>
      </c>
    </row>
    <row r="180">
      <c r="A180" s="1" t="s">
        <v>620</v>
      </c>
      <c r="B180" s="1">
        <v>1.0</v>
      </c>
      <c r="D180" s="1">
        <v>360.353348</v>
      </c>
      <c r="E180" s="1">
        <v>179.0</v>
      </c>
      <c r="F180" s="1"/>
      <c r="J180" s="5">
        <f t="shared" si="1"/>
        <v>4.33233</v>
      </c>
    </row>
    <row r="181">
      <c r="A181" s="1" t="s">
        <v>37</v>
      </c>
      <c r="B181" s="1">
        <v>0.0</v>
      </c>
      <c r="D181" s="1">
        <v>362.445587</v>
      </c>
      <c r="E181" s="1">
        <v>180.0</v>
      </c>
      <c r="F181" s="1"/>
      <c r="J181" s="5">
        <f t="shared" si="1"/>
        <v>2.092239</v>
      </c>
    </row>
    <row r="182">
      <c r="A182" s="1" t="s">
        <v>37</v>
      </c>
      <c r="B182" s="1">
        <v>0.0</v>
      </c>
      <c r="D182" s="1">
        <v>369.551051</v>
      </c>
      <c r="E182" s="1">
        <v>181.0</v>
      </c>
      <c r="F182" s="1"/>
      <c r="J182" s="5">
        <f t="shared" si="1"/>
        <v>7.105464</v>
      </c>
    </row>
    <row r="183">
      <c r="A183" s="1" t="s">
        <v>37</v>
      </c>
      <c r="B183" s="1">
        <v>0.0</v>
      </c>
      <c r="D183" s="1">
        <v>371.143394</v>
      </c>
      <c r="E183" s="1">
        <v>182.0</v>
      </c>
      <c r="F183" s="1"/>
      <c r="J183" s="5">
        <f t="shared" si="1"/>
        <v>1.592343</v>
      </c>
    </row>
    <row r="184">
      <c r="A184" s="1" t="s">
        <v>37</v>
      </c>
      <c r="B184" s="1">
        <v>0.0</v>
      </c>
      <c r="D184" s="1">
        <v>372.017467</v>
      </c>
      <c r="E184" s="1">
        <v>183.0</v>
      </c>
      <c r="F184" s="1"/>
      <c r="J184" s="5">
        <f t="shared" si="1"/>
        <v>0.874073</v>
      </c>
    </row>
    <row r="185">
      <c r="A185" s="1" t="s">
        <v>621</v>
      </c>
      <c r="B185" s="1">
        <v>1.0</v>
      </c>
      <c r="D185" s="1">
        <v>373.377963</v>
      </c>
      <c r="E185" s="1">
        <v>184.0</v>
      </c>
      <c r="F185" s="1"/>
      <c r="J185" s="5">
        <f t="shared" si="1"/>
        <v>1.360496</v>
      </c>
    </row>
    <row r="186">
      <c r="A186" s="1" t="s">
        <v>37</v>
      </c>
      <c r="B186" s="1">
        <v>0.0</v>
      </c>
      <c r="D186" s="1">
        <v>377.855706</v>
      </c>
      <c r="E186" s="1">
        <v>185.0</v>
      </c>
      <c r="F186" s="1"/>
      <c r="J186" s="5">
        <f t="shared" si="1"/>
        <v>4.477743</v>
      </c>
    </row>
    <row r="187">
      <c r="A187" s="1" t="s">
        <v>37</v>
      </c>
      <c r="B187" s="1">
        <v>0.0</v>
      </c>
      <c r="D187" s="1">
        <v>386.014134</v>
      </c>
      <c r="E187" s="1">
        <v>186.0</v>
      </c>
      <c r="F187" s="1"/>
      <c r="J187" s="5">
        <f t="shared" si="1"/>
        <v>8.158428</v>
      </c>
    </row>
    <row r="188">
      <c r="A188" s="1" t="s">
        <v>37</v>
      </c>
      <c r="B188" s="1">
        <v>0.0</v>
      </c>
      <c r="D188" s="1">
        <v>387.215595</v>
      </c>
      <c r="E188" s="1">
        <v>187.0</v>
      </c>
      <c r="F188" s="1"/>
      <c r="J188" s="5">
        <f t="shared" si="1"/>
        <v>1.201461</v>
      </c>
    </row>
    <row r="189">
      <c r="A189" s="1" t="s">
        <v>37</v>
      </c>
      <c r="B189" s="1">
        <v>0.0</v>
      </c>
      <c r="D189" s="1">
        <v>388.620441</v>
      </c>
      <c r="E189" s="1">
        <v>188.0</v>
      </c>
      <c r="F189" s="1"/>
      <c r="J189" s="5">
        <f t="shared" si="1"/>
        <v>1.404846</v>
      </c>
    </row>
    <row r="190">
      <c r="A190" s="1" t="s">
        <v>37</v>
      </c>
      <c r="B190" s="1">
        <v>0.0</v>
      </c>
      <c r="D190" s="1">
        <v>390.11133</v>
      </c>
      <c r="E190" s="1">
        <v>189.0</v>
      </c>
      <c r="F190" s="1"/>
      <c r="J190" s="5">
        <f t="shared" si="1"/>
        <v>1.490889</v>
      </c>
    </row>
    <row r="191">
      <c r="A191" s="1" t="s">
        <v>37</v>
      </c>
      <c r="B191" s="1">
        <v>0.0</v>
      </c>
      <c r="D191" s="1">
        <v>391.320375</v>
      </c>
      <c r="E191" s="1">
        <v>190.0</v>
      </c>
      <c r="F191" s="1"/>
      <c r="J191" s="5">
        <f t="shared" si="1"/>
        <v>1.209045</v>
      </c>
    </row>
    <row r="192">
      <c r="A192" s="1" t="s">
        <v>37</v>
      </c>
      <c r="B192" s="1">
        <v>0.0</v>
      </c>
      <c r="D192" s="1">
        <v>392.903966</v>
      </c>
      <c r="E192" s="1">
        <v>191.0</v>
      </c>
      <c r="F192" s="1"/>
      <c r="J192" s="5">
        <f t="shared" si="1"/>
        <v>1.583591</v>
      </c>
    </row>
    <row r="193">
      <c r="A193" s="1" t="s">
        <v>37</v>
      </c>
      <c r="B193" s="1">
        <v>0.0</v>
      </c>
      <c r="D193" s="1">
        <v>395.10845</v>
      </c>
      <c r="E193" s="1">
        <v>192.0</v>
      </c>
      <c r="F193" s="1"/>
      <c r="J193" s="5">
        <f t="shared" si="1"/>
        <v>2.204484</v>
      </c>
    </row>
    <row r="194">
      <c r="A194" s="1" t="s">
        <v>37</v>
      </c>
      <c r="B194" s="1">
        <v>0.0</v>
      </c>
      <c r="D194" s="1">
        <v>397.182531</v>
      </c>
      <c r="E194" s="1">
        <v>193.0</v>
      </c>
      <c r="F194" s="1"/>
      <c r="J194" s="5">
        <f t="shared" si="1"/>
        <v>2.074081</v>
      </c>
    </row>
    <row r="195">
      <c r="A195" s="1" t="s">
        <v>37</v>
      </c>
      <c r="B195" s="1">
        <v>0.0</v>
      </c>
      <c r="D195" s="1">
        <v>400.086835</v>
      </c>
      <c r="E195" s="1">
        <v>194.0</v>
      </c>
      <c r="F195" s="1"/>
      <c r="J195" s="5">
        <f t="shared" si="1"/>
        <v>2.904304</v>
      </c>
    </row>
    <row r="196">
      <c r="A196" s="1" t="s">
        <v>37</v>
      </c>
      <c r="B196" s="1">
        <v>0.0</v>
      </c>
      <c r="D196" s="1">
        <v>401.510682</v>
      </c>
      <c r="E196" s="1">
        <v>195.0</v>
      </c>
      <c r="F196" s="1"/>
      <c r="J196" s="5">
        <f t="shared" si="1"/>
        <v>1.423847</v>
      </c>
    </row>
    <row r="197">
      <c r="A197" s="1" t="s">
        <v>622</v>
      </c>
      <c r="B197" s="1">
        <v>1.0</v>
      </c>
      <c r="D197" s="1">
        <v>401.718234</v>
      </c>
      <c r="E197" s="1">
        <v>196.0</v>
      </c>
      <c r="F197" s="1"/>
      <c r="J197" s="5">
        <f t="shared" si="1"/>
        <v>0.207552</v>
      </c>
    </row>
    <row r="198">
      <c r="A198" s="1" t="s">
        <v>623</v>
      </c>
      <c r="B198" s="1">
        <v>1.0</v>
      </c>
      <c r="D198" s="1">
        <v>405.300755</v>
      </c>
      <c r="E198" s="1">
        <v>197.0</v>
      </c>
      <c r="F198" s="1"/>
      <c r="J198" s="5">
        <f t="shared" si="1"/>
        <v>3.582521</v>
      </c>
    </row>
    <row r="199">
      <c r="A199" s="1" t="s">
        <v>37</v>
      </c>
      <c r="B199" s="1">
        <v>0.0</v>
      </c>
      <c r="D199" s="1">
        <v>406.390874</v>
      </c>
      <c r="E199" s="1">
        <v>198.0</v>
      </c>
      <c r="F199" s="1"/>
      <c r="J199" s="5">
        <f t="shared" si="1"/>
        <v>1.090119</v>
      </c>
    </row>
    <row r="200">
      <c r="A200" s="1" t="s">
        <v>624</v>
      </c>
      <c r="B200" s="1">
        <v>2.0</v>
      </c>
      <c r="D200" s="1">
        <v>407.437726</v>
      </c>
      <c r="E200" s="1">
        <v>199.0</v>
      </c>
      <c r="F200" s="1"/>
      <c r="J200" s="5">
        <f t="shared" si="1"/>
        <v>1.046852</v>
      </c>
    </row>
    <row r="201">
      <c r="A201" s="1" t="s">
        <v>625</v>
      </c>
      <c r="B201" s="1">
        <v>1.0</v>
      </c>
      <c r="D201" s="1">
        <v>407.575145</v>
      </c>
      <c r="E201" s="1">
        <v>200.0</v>
      </c>
      <c r="F201" s="1"/>
      <c r="J201" s="5">
        <f t="shared" si="1"/>
        <v>0.137419</v>
      </c>
    </row>
    <row r="202">
      <c r="A202" s="1" t="s">
        <v>626</v>
      </c>
      <c r="B202" s="1">
        <v>1.0</v>
      </c>
      <c r="D202" s="1">
        <v>414.499511</v>
      </c>
      <c r="E202" s="1">
        <v>201.0</v>
      </c>
      <c r="F202" s="1"/>
      <c r="J202" s="5">
        <f t="shared" si="1"/>
        <v>6.924366</v>
      </c>
    </row>
    <row r="203">
      <c r="A203" s="1" t="s">
        <v>37</v>
      </c>
      <c r="B203" s="1">
        <v>0.0</v>
      </c>
      <c r="D203" s="1">
        <v>415.269386</v>
      </c>
      <c r="E203" s="1">
        <v>202.0</v>
      </c>
      <c r="F203" s="1"/>
      <c r="J203" s="5">
        <f t="shared" si="1"/>
        <v>0.769875</v>
      </c>
    </row>
    <row r="204">
      <c r="A204" s="1" t="s">
        <v>627</v>
      </c>
      <c r="B204" s="1">
        <v>2.0</v>
      </c>
      <c r="D204" s="1">
        <v>417.976211</v>
      </c>
      <c r="E204" s="1">
        <v>203.0</v>
      </c>
      <c r="F204" s="1"/>
      <c r="J204" s="5">
        <f t="shared" si="1"/>
        <v>2.706825</v>
      </c>
    </row>
    <row r="205">
      <c r="A205" s="1" t="s">
        <v>37</v>
      </c>
      <c r="B205" s="1">
        <v>0.0</v>
      </c>
      <c r="D205" s="1">
        <v>431.178721</v>
      </c>
      <c r="E205" s="1">
        <v>204.0</v>
      </c>
      <c r="F205" s="1"/>
      <c r="J205" s="5">
        <f t="shared" si="1"/>
        <v>13.20251</v>
      </c>
    </row>
    <row r="206">
      <c r="A206" s="1" t="s">
        <v>628</v>
      </c>
      <c r="B206" s="1">
        <v>1.0</v>
      </c>
      <c r="D206" s="1">
        <v>435.110272</v>
      </c>
      <c r="E206" s="1">
        <v>205.0</v>
      </c>
      <c r="F206" s="1"/>
      <c r="J206" s="5">
        <f t="shared" si="1"/>
        <v>3.931551</v>
      </c>
    </row>
    <row r="207">
      <c r="A207" s="1" t="s">
        <v>37</v>
      </c>
      <c r="B207" s="1">
        <v>0.0</v>
      </c>
      <c r="D207" s="1">
        <v>437.444585</v>
      </c>
      <c r="E207" s="1">
        <v>206.0</v>
      </c>
      <c r="F207" s="1"/>
      <c r="J207" s="5">
        <f t="shared" si="1"/>
        <v>2.334313</v>
      </c>
    </row>
    <row r="208">
      <c r="A208" s="1" t="s">
        <v>37</v>
      </c>
      <c r="B208" s="1">
        <v>0.0</v>
      </c>
      <c r="D208" s="1">
        <v>439.572929</v>
      </c>
      <c r="E208" s="1">
        <v>207.0</v>
      </c>
      <c r="F208" s="1"/>
      <c r="J208" s="5">
        <f t="shared" si="1"/>
        <v>2.128344</v>
      </c>
    </row>
    <row r="209">
      <c r="A209" s="1" t="s">
        <v>37</v>
      </c>
      <c r="B209" s="1">
        <v>0.0</v>
      </c>
      <c r="D209" s="1">
        <v>440.497585</v>
      </c>
      <c r="E209" s="1">
        <v>208.0</v>
      </c>
      <c r="F209" s="1"/>
      <c r="J209" s="5">
        <f t="shared" si="1"/>
        <v>0.924656</v>
      </c>
    </row>
    <row r="210">
      <c r="A210" s="1" t="s">
        <v>629</v>
      </c>
      <c r="B210" s="1">
        <v>1.0</v>
      </c>
      <c r="D210" s="1">
        <v>441.038071</v>
      </c>
      <c r="E210" s="1">
        <v>209.0</v>
      </c>
      <c r="F210" s="1"/>
      <c r="J210" s="5">
        <f t="shared" si="1"/>
        <v>0.540486</v>
      </c>
    </row>
    <row r="211">
      <c r="A211" s="1" t="s">
        <v>37</v>
      </c>
      <c r="B211" s="1">
        <v>0.0</v>
      </c>
      <c r="D211" s="1">
        <v>441.524407</v>
      </c>
      <c r="E211" s="1">
        <v>210.0</v>
      </c>
      <c r="F211" s="1"/>
      <c r="J211" s="5">
        <f t="shared" si="1"/>
        <v>0.486336</v>
      </c>
    </row>
    <row r="212">
      <c r="A212" s="1" t="s">
        <v>37</v>
      </c>
      <c r="B212" s="1">
        <v>0.0</v>
      </c>
      <c r="D212" s="1">
        <v>441.647809</v>
      </c>
      <c r="E212" s="1">
        <v>211.0</v>
      </c>
      <c r="F212" s="1"/>
      <c r="J212" s="5">
        <f t="shared" si="1"/>
        <v>0.123402</v>
      </c>
    </row>
    <row r="213">
      <c r="A213" s="1" t="s">
        <v>37</v>
      </c>
      <c r="B213" s="1">
        <v>0.0</v>
      </c>
      <c r="D213" s="1">
        <v>447.549853</v>
      </c>
      <c r="E213" s="1">
        <v>212.0</v>
      </c>
      <c r="F213" s="1"/>
      <c r="J213" s="5">
        <f t="shared" si="1"/>
        <v>5.902044</v>
      </c>
    </row>
    <row r="214">
      <c r="A214" s="1" t="s">
        <v>37</v>
      </c>
      <c r="B214" s="1">
        <v>0.0</v>
      </c>
      <c r="D214" s="1">
        <v>450.490459</v>
      </c>
      <c r="E214" s="1">
        <v>213.0</v>
      </c>
      <c r="F214" s="1"/>
      <c r="J214" s="5">
        <f t="shared" si="1"/>
        <v>2.940606</v>
      </c>
    </row>
    <row r="215">
      <c r="A215" s="1" t="s">
        <v>630</v>
      </c>
      <c r="B215" s="1">
        <v>1.0</v>
      </c>
      <c r="D215" s="1">
        <v>451.548932</v>
      </c>
      <c r="E215" s="1">
        <v>214.0</v>
      </c>
      <c r="F215" s="1"/>
      <c r="J215" s="5">
        <f t="shared" si="1"/>
        <v>1.058473</v>
      </c>
    </row>
    <row r="216">
      <c r="A216" s="1" t="s">
        <v>37</v>
      </c>
      <c r="B216" s="1">
        <v>0.0</v>
      </c>
      <c r="D216" s="1">
        <v>452.303569</v>
      </c>
      <c r="E216" s="1">
        <v>215.0</v>
      </c>
      <c r="F216" s="1"/>
      <c r="J216" s="5">
        <f t="shared" si="1"/>
        <v>0.754637</v>
      </c>
    </row>
    <row r="217">
      <c r="A217" s="1" t="s">
        <v>631</v>
      </c>
      <c r="B217" s="1">
        <v>1.0</v>
      </c>
      <c r="D217" s="1">
        <v>452.80431</v>
      </c>
      <c r="E217" s="1">
        <v>216.0</v>
      </c>
      <c r="F217" s="1"/>
      <c r="J217" s="5">
        <f t="shared" si="1"/>
        <v>0.500741</v>
      </c>
    </row>
    <row r="218">
      <c r="A218" s="1" t="s">
        <v>632</v>
      </c>
      <c r="B218" s="1">
        <v>2.0</v>
      </c>
      <c r="D218" s="1">
        <v>455.607539</v>
      </c>
      <c r="E218" s="1">
        <v>217.0</v>
      </c>
      <c r="F218" s="1"/>
      <c r="J218" s="5">
        <f t="shared" si="1"/>
        <v>2.803229</v>
      </c>
    </row>
    <row r="219">
      <c r="A219" s="1" t="s">
        <v>633</v>
      </c>
      <c r="B219" s="1">
        <v>1.0</v>
      </c>
      <c r="D219" s="1">
        <v>458.995538</v>
      </c>
      <c r="E219" s="1">
        <v>218.0</v>
      </c>
      <c r="F219" s="1"/>
      <c r="J219" s="5">
        <f t="shared" si="1"/>
        <v>3.387999</v>
      </c>
    </row>
    <row r="220">
      <c r="A220" s="1" t="s">
        <v>37</v>
      </c>
      <c r="B220" s="1">
        <v>0.0</v>
      </c>
      <c r="D220" s="1">
        <v>461.211309</v>
      </c>
      <c r="E220" s="1">
        <v>219.0</v>
      </c>
      <c r="F220" s="1"/>
      <c r="J220" s="5">
        <f t="shared" si="1"/>
        <v>2.215771</v>
      </c>
    </row>
    <row r="221">
      <c r="A221" s="1" t="s">
        <v>634</v>
      </c>
      <c r="B221" s="1">
        <v>1.0</v>
      </c>
      <c r="D221" s="1">
        <v>463.394985</v>
      </c>
      <c r="E221" s="1">
        <v>220.0</v>
      </c>
      <c r="F221" s="1"/>
      <c r="J221" s="5">
        <f t="shared" si="1"/>
        <v>2.183676</v>
      </c>
    </row>
    <row r="222">
      <c r="A222" s="1" t="s">
        <v>37</v>
      </c>
      <c r="B222" s="1">
        <v>0.0</v>
      </c>
      <c r="D222" s="1">
        <v>464.157448</v>
      </c>
      <c r="E222" s="1">
        <v>221.0</v>
      </c>
      <c r="F222" s="1"/>
      <c r="J222" s="5">
        <f t="shared" si="1"/>
        <v>0.762463</v>
      </c>
    </row>
    <row r="223">
      <c r="A223" s="1" t="s">
        <v>635</v>
      </c>
      <c r="B223" s="1">
        <v>1.0</v>
      </c>
      <c r="D223" s="1">
        <v>471.696088</v>
      </c>
      <c r="E223" s="1">
        <v>222.0</v>
      </c>
      <c r="F223" s="1"/>
      <c r="J223" s="5">
        <f t="shared" si="1"/>
        <v>7.53864</v>
      </c>
    </row>
    <row r="224">
      <c r="A224" s="1" t="s">
        <v>636</v>
      </c>
      <c r="B224" s="1">
        <v>2.0</v>
      </c>
      <c r="D224" s="1">
        <v>472.180342</v>
      </c>
      <c r="E224" s="1">
        <v>223.0</v>
      </c>
      <c r="F224" s="1"/>
      <c r="J224" s="5">
        <f t="shared" si="1"/>
        <v>0.484254</v>
      </c>
    </row>
    <row r="225">
      <c r="A225" s="1" t="s">
        <v>637</v>
      </c>
      <c r="B225" s="1">
        <v>2.0</v>
      </c>
      <c r="D225" s="1">
        <v>477.481759</v>
      </c>
      <c r="E225" s="1">
        <v>224.0</v>
      </c>
      <c r="F225" s="1"/>
      <c r="J225" s="5">
        <f t="shared" si="1"/>
        <v>5.301417</v>
      </c>
    </row>
    <row r="226">
      <c r="A226" s="1" t="s">
        <v>37</v>
      </c>
      <c r="B226" s="1">
        <v>0.0</v>
      </c>
      <c r="D226" s="1">
        <v>485.801738</v>
      </c>
      <c r="E226" s="1">
        <v>225.0</v>
      </c>
      <c r="F226" s="1"/>
      <c r="J226" s="5">
        <f t="shared" si="1"/>
        <v>8.319979</v>
      </c>
    </row>
    <row r="227">
      <c r="A227" s="1" t="s">
        <v>37</v>
      </c>
      <c r="B227" s="1">
        <v>0.0</v>
      </c>
      <c r="D227" s="1">
        <v>486.35339</v>
      </c>
      <c r="E227" s="1">
        <v>226.0</v>
      </c>
      <c r="F227" s="1"/>
      <c r="J227" s="5">
        <f t="shared" si="1"/>
        <v>0.551652</v>
      </c>
    </row>
    <row r="228">
      <c r="A228" s="1" t="s">
        <v>37</v>
      </c>
      <c r="B228" s="1">
        <v>0.0</v>
      </c>
      <c r="D228" s="1">
        <v>494.466151</v>
      </c>
      <c r="E228" s="1">
        <v>227.0</v>
      </c>
      <c r="F228" s="1"/>
      <c r="J228" s="5">
        <f t="shared" si="1"/>
        <v>8.112761</v>
      </c>
    </row>
    <row r="229">
      <c r="A229" s="1" t="s">
        <v>37</v>
      </c>
      <c r="B229" s="1">
        <v>0.0</v>
      </c>
      <c r="D229" s="1">
        <v>495.853818</v>
      </c>
      <c r="E229" s="1">
        <v>228.0</v>
      </c>
      <c r="F229" s="1"/>
      <c r="J229" s="5">
        <f t="shared" si="1"/>
        <v>1.387667</v>
      </c>
    </row>
    <row r="230">
      <c r="A230" s="1" t="s">
        <v>37</v>
      </c>
      <c r="B230" s="1">
        <v>0.0</v>
      </c>
      <c r="D230" s="1">
        <v>496.198219</v>
      </c>
      <c r="E230" s="1">
        <v>229.0</v>
      </c>
      <c r="F230" s="1"/>
      <c r="J230" s="5">
        <f t="shared" si="1"/>
        <v>0.344401</v>
      </c>
    </row>
    <row r="231">
      <c r="A231" s="1" t="s">
        <v>638</v>
      </c>
      <c r="B231" s="1">
        <v>1.0</v>
      </c>
      <c r="D231" s="1">
        <v>497.454126</v>
      </c>
      <c r="E231" s="1">
        <v>230.0</v>
      </c>
      <c r="F231" s="1"/>
      <c r="J231" s="5">
        <f t="shared" si="1"/>
        <v>1.255907</v>
      </c>
    </row>
    <row r="232">
      <c r="A232" s="1" t="s">
        <v>37</v>
      </c>
      <c r="B232" s="1">
        <v>0.0</v>
      </c>
      <c r="D232" s="1">
        <v>498.128846</v>
      </c>
      <c r="E232" s="1">
        <v>231.0</v>
      </c>
      <c r="F232" s="1"/>
      <c r="J232" s="5">
        <f t="shared" si="1"/>
        <v>0.67472</v>
      </c>
    </row>
    <row r="233">
      <c r="A233" s="1" t="s">
        <v>37</v>
      </c>
      <c r="B233" s="1">
        <v>0.0</v>
      </c>
      <c r="D233" s="1">
        <v>498.469104</v>
      </c>
      <c r="E233" s="1">
        <v>232.0</v>
      </c>
      <c r="F233" s="1"/>
      <c r="J233" s="5">
        <f t="shared" si="1"/>
        <v>0.340258</v>
      </c>
    </row>
    <row r="234">
      <c r="A234" s="1" t="s">
        <v>37</v>
      </c>
      <c r="B234" s="1">
        <v>0.0</v>
      </c>
      <c r="D234" s="1">
        <v>498.809187</v>
      </c>
      <c r="E234" s="1">
        <v>233.0</v>
      </c>
      <c r="F234" s="1"/>
      <c r="J234" s="5">
        <f t="shared" si="1"/>
        <v>0.340083</v>
      </c>
    </row>
    <row r="235">
      <c r="A235" s="1" t="s">
        <v>37</v>
      </c>
      <c r="B235" s="1">
        <v>0.0</v>
      </c>
      <c r="D235" s="1">
        <v>500.914351</v>
      </c>
      <c r="E235" s="1">
        <v>234.0</v>
      </c>
      <c r="F235" s="1"/>
      <c r="J235" s="5">
        <f t="shared" si="1"/>
        <v>2.105164</v>
      </c>
    </row>
    <row r="236">
      <c r="A236" s="1" t="s">
        <v>639</v>
      </c>
      <c r="B236" s="1">
        <v>2.0</v>
      </c>
      <c r="D236" s="1">
        <v>501.256113</v>
      </c>
      <c r="E236" s="1">
        <v>235.0</v>
      </c>
      <c r="F236" s="1"/>
      <c r="J236" s="5">
        <f t="shared" si="1"/>
        <v>0.341762</v>
      </c>
    </row>
    <row r="237">
      <c r="A237" s="1" t="s">
        <v>37</v>
      </c>
      <c r="B237" s="1">
        <v>0.0</v>
      </c>
      <c r="D237" s="1">
        <v>503.157871</v>
      </c>
      <c r="E237" s="1">
        <v>236.0</v>
      </c>
      <c r="F237" s="1"/>
      <c r="J237" s="5">
        <f t="shared" si="1"/>
        <v>1.901758</v>
      </c>
    </row>
    <row r="238">
      <c r="A238" s="1" t="s">
        <v>640</v>
      </c>
      <c r="B238" s="1">
        <v>2.0</v>
      </c>
      <c r="D238" s="1">
        <v>511.809644</v>
      </c>
      <c r="E238" s="1">
        <v>237.0</v>
      </c>
      <c r="F238" s="1"/>
      <c r="J238" s="5">
        <f t="shared" si="1"/>
        <v>8.651773</v>
      </c>
    </row>
    <row r="239">
      <c r="A239" s="1" t="s">
        <v>641</v>
      </c>
      <c r="B239" s="1">
        <v>2.0</v>
      </c>
      <c r="D239" s="1">
        <v>518.731554</v>
      </c>
      <c r="E239" s="1">
        <v>238.0</v>
      </c>
      <c r="F239" s="1"/>
      <c r="J239" s="5">
        <f t="shared" si="1"/>
        <v>6.92191</v>
      </c>
    </row>
    <row r="240">
      <c r="A240" s="1" t="s">
        <v>642</v>
      </c>
      <c r="B240" s="1">
        <v>2.0</v>
      </c>
      <c r="D240" s="1">
        <v>522.196259</v>
      </c>
      <c r="E240" s="1">
        <v>239.0</v>
      </c>
      <c r="F240" s="1"/>
      <c r="J240" s="5">
        <f t="shared" si="1"/>
        <v>3.464705</v>
      </c>
    </row>
    <row r="241">
      <c r="A241" s="1" t="s">
        <v>37</v>
      </c>
      <c r="B241" s="1">
        <v>0.0</v>
      </c>
      <c r="D241" s="1">
        <v>523.773157</v>
      </c>
      <c r="E241" s="1">
        <v>240.0</v>
      </c>
      <c r="F241" s="1"/>
      <c r="J241" s="5">
        <f t="shared" si="1"/>
        <v>1.576898</v>
      </c>
    </row>
    <row r="242">
      <c r="A242" s="1" t="s">
        <v>643</v>
      </c>
      <c r="B242" s="1">
        <v>1.0</v>
      </c>
      <c r="D242" s="1">
        <v>525.502449</v>
      </c>
      <c r="E242" s="1">
        <v>241.0</v>
      </c>
      <c r="F242" s="1"/>
      <c r="J242" s="5">
        <f t="shared" si="1"/>
        <v>1.729292</v>
      </c>
    </row>
    <row r="243">
      <c r="A243" s="1" t="s">
        <v>644</v>
      </c>
      <c r="B243" s="1">
        <v>1.0</v>
      </c>
      <c r="D243" s="1">
        <v>532.396041</v>
      </c>
      <c r="E243" s="1">
        <v>242.0</v>
      </c>
      <c r="F243" s="1"/>
      <c r="J243" s="5">
        <f t="shared" si="1"/>
        <v>6.893592</v>
      </c>
    </row>
    <row r="244">
      <c r="A244" s="1" t="s">
        <v>37</v>
      </c>
      <c r="B244" s="1">
        <v>0.0</v>
      </c>
      <c r="D244" s="1">
        <v>533.575283</v>
      </c>
      <c r="E244" s="1">
        <v>243.0</v>
      </c>
      <c r="F244" s="1"/>
      <c r="J244" s="5">
        <f t="shared" si="1"/>
        <v>1.179242</v>
      </c>
    </row>
    <row r="245">
      <c r="A245" s="1" t="s">
        <v>37</v>
      </c>
      <c r="B245" s="1">
        <v>0.0</v>
      </c>
      <c r="D245" s="1">
        <v>534.75615</v>
      </c>
      <c r="E245" s="1">
        <v>244.0</v>
      </c>
      <c r="F245" s="1"/>
      <c r="J245" s="5">
        <f t="shared" si="1"/>
        <v>1.180867</v>
      </c>
    </row>
    <row r="246">
      <c r="A246" s="1" t="s">
        <v>645</v>
      </c>
      <c r="B246" s="1">
        <v>1.0</v>
      </c>
      <c r="D246" s="1">
        <v>535.226514</v>
      </c>
      <c r="E246" s="1">
        <v>245.0</v>
      </c>
      <c r="F246" s="1"/>
      <c r="J246" s="5">
        <f t="shared" si="1"/>
        <v>0.470364</v>
      </c>
    </row>
    <row r="247">
      <c r="A247" s="1" t="s">
        <v>646</v>
      </c>
      <c r="B247" s="1">
        <v>1.0</v>
      </c>
      <c r="D247" s="1">
        <v>536.298916</v>
      </c>
      <c r="E247" s="1">
        <v>246.0</v>
      </c>
      <c r="F247" s="1"/>
      <c r="J247" s="5">
        <f t="shared" si="1"/>
        <v>1.072402</v>
      </c>
    </row>
    <row r="248">
      <c r="A248" s="1" t="s">
        <v>37</v>
      </c>
      <c r="B248" s="1">
        <v>0.0</v>
      </c>
      <c r="D248" s="1">
        <v>537.757839</v>
      </c>
      <c r="E248" s="1">
        <v>247.0</v>
      </c>
      <c r="F248" s="1"/>
      <c r="J248" s="5">
        <f t="shared" si="1"/>
        <v>1.458923</v>
      </c>
    </row>
    <row r="249">
      <c r="A249" s="1" t="s">
        <v>37</v>
      </c>
      <c r="B249" s="1">
        <v>0.0</v>
      </c>
      <c r="D249" s="1">
        <v>543.473504</v>
      </c>
      <c r="E249" s="1">
        <v>248.0</v>
      </c>
      <c r="F249" s="1"/>
      <c r="J249" s="5">
        <f t="shared" si="1"/>
        <v>5.715665</v>
      </c>
    </row>
    <row r="250">
      <c r="A250" s="1" t="s">
        <v>647</v>
      </c>
      <c r="B250" s="1">
        <v>1.0</v>
      </c>
      <c r="D250" s="1">
        <v>547.531269</v>
      </c>
      <c r="E250" s="1">
        <v>249.0</v>
      </c>
      <c r="F250" s="1"/>
      <c r="J250" s="5">
        <f t="shared" si="1"/>
        <v>4.057765</v>
      </c>
    </row>
    <row r="251">
      <c r="A251" s="1" t="s">
        <v>648</v>
      </c>
      <c r="B251" s="1">
        <v>1.0</v>
      </c>
      <c r="D251" s="1">
        <v>550.99196</v>
      </c>
      <c r="E251" s="1">
        <v>250.0</v>
      </c>
      <c r="F251" s="1"/>
      <c r="J251" s="5">
        <f t="shared" si="1"/>
        <v>3.460691</v>
      </c>
    </row>
    <row r="252">
      <c r="A252" s="1" t="s">
        <v>649</v>
      </c>
      <c r="B252" s="1">
        <v>1.0</v>
      </c>
      <c r="D252" s="1">
        <v>552.045946</v>
      </c>
      <c r="E252" s="1">
        <v>251.0</v>
      </c>
      <c r="F252" s="1"/>
      <c r="J252" s="5">
        <f t="shared" si="1"/>
        <v>1.053986</v>
      </c>
    </row>
    <row r="253">
      <c r="A253" s="1" t="s">
        <v>37</v>
      </c>
      <c r="B253" s="1">
        <v>0.0</v>
      </c>
      <c r="D253" s="1">
        <v>552.2188</v>
      </c>
      <c r="E253" s="1">
        <v>252.0</v>
      </c>
      <c r="F253" s="1"/>
      <c r="J253" s="5">
        <f t="shared" si="1"/>
        <v>0.172854</v>
      </c>
    </row>
    <row r="254">
      <c r="A254" s="1" t="s">
        <v>650</v>
      </c>
      <c r="B254" s="1">
        <v>1.0</v>
      </c>
      <c r="D254" s="1">
        <v>553.671037</v>
      </c>
      <c r="E254" s="1">
        <v>253.0</v>
      </c>
      <c r="F254" s="1"/>
      <c r="J254" s="5">
        <f t="shared" si="1"/>
        <v>1.452237</v>
      </c>
    </row>
    <row r="255">
      <c r="A255" s="1" t="s">
        <v>651</v>
      </c>
      <c r="B255" s="1">
        <v>1.0</v>
      </c>
      <c r="D255" s="1">
        <v>555.286704</v>
      </c>
      <c r="E255" s="1">
        <v>254.0</v>
      </c>
      <c r="F255" s="1"/>
      <c r="J255" s="5">
        <f t="shared" si="1"/>
        <v>1.615667</v>
      </c>
    </row>
    <row r="256">
      <c r="A256" s="1" t="s">
        <v>37</v>
      </c>
      <c r="B256" s="1">
        <v>0.0</v>
      </c>
      <c r="D256" s="1">
        <v>556.48994</v>
      </c>
      <c r="E256" s="1">
        <v>255.0</v>
      </c>
      <c r="F256" s="1"/>
      <c r="J256" s="5">
        <f t="shared" si="1"/>
        <v>1.203236</v>
      </c>
    </row>
    <row r="257">
      <c r="A257" s="1" t="s">
        <v>37</v>
      </c>
      <c r="B257" s="1">
        <v>0.0</v>
      </c>
      <c r="D257" s="1">
        <v>556.830218</v>
      </c>
      <c r="E257" s="1">
        <v>256.0</v>
      </c>
      <c r="F257" s="1"/>
      <c r="J257" s="5">
        <f t="shared" si="1"/>
        <v>0.340278</v>
      </c>
    </row>
    <row r="258">
      <c r="A258" s="1" t="s">
        <v>37</v>
      </c>
      <c r="B258" s="1">
        <v>0.0</v>
      </c>
      <c r="D258" s="1">
        <v>561.79164</v>
      </c>
      <c r="E258" s="1">
        <v>257.0</v>
      </c>
      <c r="F258" s="1"/>
      <c r="J258" s="5">
        <f t="shared" si="1"/>
        <v>4.961422</v>
      </c>
    </row>
    <row r="259">
      <c r="A259" s="1" t="s">
        <v>37</v>
      </c>
      <c r="B259" s="1">
        <v>0.0</v>
      </c>
      <c r="D259" s="1">
        <v>561.97732</v>
      </c>
      <c r="E259" s="1">
        <v>258.0</v>
      </c>
      <c r="F259" s="1"/>
      <c r="J259" s="5">
        <f t="shared" si="1"/>
        <v>0.18568</v>
      </c>
    </row>
    <row r="260">
      <c r="A260" s="1" t="s">
        <v>37</v>
      </c>
      <c r="B260" s="1">
        <v>0.0</v>
      </c>
      <c r="D260" s="1">
        <v>564.509857</v>
      </c>
      <c r="E260" s="1">
        <v>259.0</v>
      </c>
      <c r="F260" s="1"/>
      <c r="J260" s="5">
        <f t="shared" si="1"/>
        <v>2.532537</v>
      </c>
    </row>
    <row r="261">
      <c r="A261" s="1" t="s">
        <v>37</v>
      </c>
      <c r="B261" s="1">
        <v>0.0</v>
      </c>
      <c r="D261" s="1">
        <v>565.10979</v>
      </c>
      <c r="E261" s="1">
        <v>260.0</v>
      </c>
      <c r="F261" s="1"/>
      <c r="J261" s="5">
        <f t="shared" si="1"/>
        <v>0.599933</v>
      </c>
    </row>
    <row r="262">
      <c r="A262" s="1" t="s">
        <v>37</v>
      </c>
      <c r="B262" s="1">
        <v>0.0</v>
      </c>
      <c r="D262" s="1">
        <v>574.64625</v>
      </c>
      <c r="E262" s="1">
        <v>261.0</v>
      </c>
      <c r="F262" s="1"/>
      <c r="J262" s="5">
        <f t="shared" si="1"/>
        <v>9.53646</v>
      </c>
    </row>
    <row r="263">
      <c r="A263" s="1" t="s">
        <v>37</v>
      </c>
      <c r="B263" s="1">
        <v>0.0</v>
      </c>
      <c r="D263" s="1">
        <v>575.378452</v>
      </c>
      <c r="E263" s="1">
        <v>262.0</v>
      </c>
      <c r="F263" s="1"/>
      <c r="J263" s="5">
        <f t="shared" si="1"/>
        <v>0.732202</v>
      </c>
    </row>
    <row r="264">
      <c r="A264" s="1" t="s">
        <v>37</v>
      </c>
      <c r="B264" s="1">
        <v>0.0</v>
      </c>
      <c r="D264" s="1">
        <v>576.619977</v>
      </c>
      <c r="E264" s="1">
        <v>263.0</v>
      </c>
      <c r="F264" s="1"/>
      <c r="J264" s="5">
        <f t="shared" si="1"/>
        <v>1.241525</v>
      </c>
    </row>
    <row r="265">
      <c r="A265" s="1" t="s">
        <v>652</v>
      </c>
      <c r="B265" s="1">
        <v>1.0</v>
      </c>
      <c r="D265" s="1">
        <v>579.30946</v>
      </c>
      <c r="E265" s="1">
        <v>264.0</v>
      </c>
      <c r="F265" s="1"/>
      <c r="J265" s="5">
        <f t="shared" si="1"/>
        <v>2.689483</v>
      </c>
    </row>
    <row r="266">
      <c r="A266" s="1" t="s">
        <v>37</v>
      </c>
      <c r="B266" s="1">
        <v>0.0</v>
      </c>
      <c r="D266" s="1">
        <v>582.194825</v>
      </c>
      <c r="E266" s="1">
        <v>265.0</v>
      </c>
      <c r="F266" s="1"/>
      <c r="J266" s="5">
        <f t="shared" si="1"/>
        <v>2.885365</v>
      </c>
    </row>
    <row r="267">
      <c r="A267" s="1" t="s">
        <v>37</v>
      </c>
      <c r="B267" s="1">
        <v>0.0</v>
      </c>
      <c r="D267" s="1">
        <v>583.973603</v>
      </c>
      <c r="E267" s="1">
        <v>266.0</v>
      </c>
      <c r="F267" s="1"/>
      <c r="J267" s="5">
        <f t="shared" si="1"/>
        <v>1.778778</v>
      </c>
    </row>
    <row r="268">
      <c r="A268" s="1" t="s">
        <v>653</v>
      </c>
      <c r="B268" s="1">
        <v>1.0</v>
      </c>
      <c r="D268" s="1">
        <v>584.432073</v>
      </c>
      <c r="E268" s="1">
        <v>267.0</v>
      </c>
      <c r="F268" s="1"/>
      <c r="J268" s="5">
        <f t="shared" si="1"/>
        <v>0.45847</v>
      </c>
    </row>
    <row r="269">
      <c r="A269" s="1" t="s">
        <v>654</v>
      </c>
      <c r="B269" s="1">
        <v>1.0</v>
      </c>
      <c r="D269" s="1">
        <v>586.512622</v>
      </c>
      <c r="E269" s="1">
        <v>268.0</v>
      </c>
      <c r="F269" s="1"/>
      <c r="J269" s="5">
        <f t="shared" si="1"/>
        <v>2.080549</v>
      </c>
    </row>
    <row r="270">
      <c r="A270" s="1" t="s">
        <v>37</v>
      </c>
      <c r="B270" s="1">
        <v>0.0</v>
      </c>
      <c r="D270" s="1">
        <v>591.922777</v>
      </c>
      <c r="E270" s="1">
        <v>269.0</v>
      </c>
      <c r="F270" s="1"/>
      <c r="J270" s="5">
        <f t="shared" si="1"/>
        <v>5.410155</v>
      </c>
    </row>
    <row r="271">
      <c r="A271" s="1" t="s">
        <v>37</v>
      </c>
      <c r="B271" s="1">
        <v>0.0</v>
      </c>
      <c r="D271" s="1">
        <v>592.93378</v>
      </c>
      <c r="E271" s="1">
        <v>270.0</v>
      </c>
      <c r="F271" s="1"/>
      <c r="J271" s="5">
        <f t="shared" si="1"/>
        <v>1.011003</v>
      </c>
    </row>
    <row r="272">
      <c r="A272" s="1" t="s">
        <v>37</v>
      </c>
      <c r="B272" s="1">
        <v>0.0</v>
      </c>
      <c r="D272" s="1">
        <v>594.082906</v>
      </c>
      <c r="E272" s="1">
        <v>271.0</v>
      </c>
      <c r="F272" s="1"/>
      <c r="J272" s="5">
        <f t="shared" si="1"/>
        <v>1.149126</v>
      </c>
    </row>
    <row r="273">
      <c r="A273" s="1" t="s">
        <v>655</v>
      </c>
      <c r="B273" s="1">
        <v>2.0</v>
      </c>
      <c r="D273" s="1">
        <v>599.36814</v>
      </c>
      <c r="E273" s="1">
        <v>272.0</v>
      </c>
      <c r="F273" s="1"/>
      <c r="J273" s="5">
        <f t="shared" si="1"/>
        <v>5.285234</v>
      </c>
    </row>
    <row r="274">
      <c r="A274" s="1" t="s">
        <v>656</v>
      </c>
      <c r="B274" s="1">
        <v>1.0</v>
      </c>
      <c r="D274" s="1">
        <v>600.431571</v>
      </c>
      <c r="E274" s="1">
        <v>273.0</v>
      </c>
      <c r="F274" s="1"/>
      <c r="J274" s="5">
        <f t="shared" si="1"/>
        <v>1.063431</v>
      </c>
    </row>
    <row r="275">
      <c r="A275" s="1" t="s">
        <v>37</v>
      </c>
      <c r="B275" s="1">
        <v>0.0</v>
      </c>
      <c r="D275" s="1">
        <v>603.248007</v>
      </c>
      <c r="E275" s="1">
        <v>274.0</v>
      </c>
      <c r="F275" s="1"/>
      <c r="J275" s="5">
        <f t="shared" si="1"/>
        <v>2.816436</v>
      </c>
    </row>
    <row r="276">
      <c r="A276" s="1" t="s">
        <v>37</v>
      </c>
      <c r="B276" s="1">
        <v>0.0</v>
      </c>
      <c r="D276" s="1"/>
      <c r="E276" s="1"/>
      <c r="F276" s="1"/>
    </row>
    <row r="277">
      <c r="A277" s="1" t="s">
        <v>37</v>
      </c>
      <c r="B277" s="1">
        <v>0.0</v>
      </c>
      <c r="D277" s="1"/>
      <c r="E277" s="1"/>
      <c r="F277" s="1"/>
    </row>
    <row r="278">
      <c r="A278" s="1" t="s">
        <v>657</v>
      </c>
      <c r="B278" s="1">
        <v>1.0</v>
      </c>
      <c r="D278" s="1"/>
      <c r="E278" s="1"/>
      <c r="F278" s="1"/>
    </row>
    <row r="279">
      <c r="A279" s="1" t="s">
        <v>37</v>
      </c>
      <c r="B279" s="1">
        <v>0.0</v>
      </c>
      <c r="D279" s="1"/>
      <c r="E279" s="1"/>
      <c r="F279" s="1"/>
    </row>
    <row r="280">
      <c r="A280" s="1" t="s">
        <v>37</v>
      </c>
      <c r="B280" s="1">
        <v>0.0</v>
      </c>
      <c r="D280" s="1"/>
      <c r="E280" s="1"/>
      <c r="F280" s="1"/>
    </row>
    <row r="281">
      <c r="A281" s="1" t="s">
        <v>37</v>
      </c>
      <c r="B281" s="1">
        <v>0.0</v>
      </c>
      <c r="D281" s="1"/>
      <c r="E281" s="1"/>
      <c r="F281" s="1"/>
    </row>
    <row r="282">
      <c r="A282" s="1" t="s">
        <v>658</v>
      </c>
      <c r="B282" s="1">
        <v>1.0</v>
      </c>
      <c r="D282" s="1"/>
      <c r="E282" s="1"/>
      <c r="F282" s="1"/>
    </row>
    <row r="283">
      <c r="A283" s="1" t="s">
        <v>37</v>
      </c>
      <c r="B283" s="1">
        <v>0.0</v>
      </c>
      <c r="D283" s="1"/>
      <c r="E283" s="1"/>
      <c r="F283" s="1"/>
    </row>
    <row r="284">
      <c r="A284" s="1" t="s">
        <v>37</v>
      </c>
      <c r="B284" s="1">
        <v>0.0</v>
      </c>
      <c r="D284" s="1"/>
      <c r="E284" s="1"/>
      <c r="F284" s="1"/>
    </row>
    <row r="285">
      <c r="A285" s="1" t="s">
        <v>659</v>
      </c>
      <c r="B285" s="1">
        <v>1.0</v>
      </c>
      <c r="D285" s="1"/>
      <c r="E285" s="1"/>
      <c r="F285" s="1"/>
    </row>
    <row r="286">
      <c r="A286" s="1" t="s">
        <v>37</v>
      </c>
      <c r="B286" s="1">
        <v>0.0</v>
      </c>
      <c r="D286" s="1"/>
      <c r="E286" s="1"/>
      <c r="F286" s="1"/>
    </row>
    <row r="287">
      <c r="A287" s="1" t="s">
        <v>37</v>
      </c>
      <c r="B287" s="1">
        <v>0.0</v>
      </c>
      <c r="D287" s="1"/>
      <c r="E287" s="1"/>
      <c r="F287" s="1"/>
    </row>
    <row r="288">
      <c r="A288" s="1" t="s">
        <v>660</v>
      </c>
      <c r="B288" s="1">
        <v>4.0</v>
      </c>
      <c r="D288" s="1"/>
      <c r="E288" s="1"/>
      <c r="F288" s="1"/>
    </row>
    <row r="289">
      <c r="A289" s="1" t="s">
        <v>37</v>
      </c>
      <c r="B289" s="1">
        <v>0.0</v>
      </c>
      <c r="D289" s="1"/>
      <c r="E289" s="1"/>
      <c r="F289" s="1"/>
    </row>
    <row r="290">
      <c r="A290" s="1" t="s">
        <v>661</v>
      </c>
      <c r="B290" s="1">
        <v>1.0</v>
      </c>
      <c r="D290" s="1"/>
      <c r="E290" s="1"/>
      <c r="F290" s="1"/>
    </row>
    <row r="291">
      <c r="A291" s="1" t="s">
        <v>662</v>
      </c>
      <c r="B291" s="1">
        <v>1.0</v>
      </c>
      <c r="D291" s="1"/>
      <c r="E291" s="1"/>
      <c r="F291" s="1"/>
    </row>
    <row r="292">
      <c r="A292" s="1" t="s">
        <v>37</v>
      </c>
      <c r="B292" s="1">
        <v>0.0</v>
      </c>
      <c r="D292" s="1"/>
      <c r="E292" s="1"/>
      <c r="F292" s="1"/>
    </row>
    <row r="293">
      <c r="A293" s="1" t="s">
        <v>37</v>
      </c>
      <c r="B293" s="1">
        <v>0.0</v>
      </c>
      <c r="D293" s="1"/>
      <c r="E293" s="1"/>
      <c r="F293" s="1"/>
    </row>
    <row r="294">
      <c r="A294" s="1" t="s">
        <v>663</v>
      </c>
      <c r="B294" s="1">
        <v>1.0</v>
      </c>
      <c r="D294" s="1"/>
      <c r="E294" s="1"/>
      <c r="F294" s="1"/>
    </row>
    <row r="295">
      <c r="A295" s="1" t="s">
        <v>37</v>
      </c>
      <c r="B295" s="1">
        <v>0.0</v>
      </c>
      <c r="D295" s="1"/>
      <c r="E295" s="1"/>
      <c r="F295" s="1"/>
    </row>
    <row r="296">
      <c r="A296" s="1" t="s">
        <v>37</v>
      </c>
      <c r="B296" s="1">
        <v>0.0</v>
      </c>
      <c r="D296" s="1"/>
      <c r="E296" s="1"/>
      <c r="F296" s="1"/>
    </row>
    <row r="297">
      <c r="A297" s="1" t="s">
        <v>664</v>
      </c>
      <c r="B297" s="1">
        <v>1.0</v>
      </c>
      <c r="D297" s="1"/>
      <c r="E297" s="1"/>
      <c r="F297" s="1"/>
    </row>
    <row r="298">
      <c r="A298" s="1" t="s">
        <v>37</v>
      </c>
      <c r="B298" s="1">
        <v>0.0</v>
      </c>
      <c r="D298" s="1"/>
      <c r="E298" s="1"/>
      <c r="F298" s="1"/>
    </row>
    <row r="299">
      <c r="A299" s="1" t="s">
        <v>665</v>
      </c>
      <c r="B299" s="1">
        <v>3.0</v>
      </c>
      <c r="D299" s="1"/>
      <c r="E299" s="1"/>
      <c r="F299" s="1"/>
    </row>
    <row r="300">
      <c r="A300" s="1" t="s">
        <v>666</v>
      </c>
      <c r="B300" s="1">
        <v>1.0</v>
      </c>
      <c r="D300" s="1"/>
      <c r="E300" s="1"/>
      <c r="F300" s="1"/>
    </row>
    <row r="301">
      <c r="A301" s="1" t="s">
        <v>667</v>
      </c>
      <c r="B301" s="1">
        <v>1.0</v>
      </c>
      <c r="D301" s="1"/>
      <c r="E301" s="1"/>
      <c r="F301" s="1"/>
    </row>
    <row r="302">
      <c r="A302" s="1" t="s">
        <v>668</v>
      </c>
      <c r="B302" s="1">
        <v>2.0</v>
      </c>
      <c r="D302" s="1"/>
      <c r="E302" s="1"/>
      <c r="F302" s="1"/>
    </row>
    <row r="303">
      <c r="A303" s="1" t="s">
        <v>37</v>
      </c>
      <c r="B303" s="1">
        <v>0.0</v>
      </c>
      <c r="D303" s="1"/>
      <c r="E303" s="1"/>
      <c r="F303" s="1"/>
    </row>
    <row r="304">
      <c r="A304" s="1" t="s">
        <v>37</v>
      </c>
      <c r="B304" s="1">
        <v>0.0</v>
      </c>
      <c r="D304" s="1"/>
      <c r="E304" s="1"/>
      <c r="F304" s="1"/>
    </row>
    <row r="305">
      <c r="A305" s="1" t="s">
        <v>37</v>
      </c>
      <c r="B305" s="1">
        <v>0.0</v>
      </c>
      <c r="D305" s="1"/>
      <c r="E305" s="1"/>
      <c r="F305" s="1"/>
    </row>
    <row r="306">
      <c r="A306" s="1" t="s">
        <v>669</v>
      </c>
      <c r="B306" s="1">
        <v>1.0</v>
      </c>
      <c r="D306" s="1"/>
      <c r="E306" s="1"/>
      <c r="F306" s="1"/>
    </row>
    <row r="307">
      <c r="A307" s="1" t="s">
        <v>670</v>
      </c>
      <c r="B307" s="1">
        <v>1.0</v>
      </c>
      <c r="D307" s="1"/>
      <c r="E307" s="1"/>
      <c r="F307" s="1"/>
    </row>
    <row r="308">
      <c r="A308" s="1" t="s">
        <v>37</v>
      </c>
      <c r="B308" s="1">
        <v>0.0</v>
      </c>
      <c r="D308" s="1"/>
      <c r="E308" s="1"/>
      <c r="F308" s="1"/>
    </row>
    <row r="309">
      <c r="A309" s="1" t="s">
        <v>37</v>
      </c>
      <c r="B309" s="1">
        <v>0.0</v>
      </c>
      <c r="D309" s="1"/>
      <c r="E309" s="1"/>
      <c r="F309" s="1"/>
    </row>
    <row r="310">
      <c r="A310" s="1" t="s">
        <v>671</v>
      </c>
      <c r="B310" s="1">
        <v>2.0</v>
      </c>
    </row>
    <row r="311">
      <c r="A311" s="1" t="s">
        <v>672</v>
      </c>
      <c r="B311" s="1">
        <v>2.0</v>
      </c>
    </row>
    <row r="312">
      <c r="A312" s="1" t="s">
        <v>37</v>
      </c>
      <c r="B312" s="1">
        <v>0.0</v>
      </c>
    </row>
    <row r="313">
      <c r="A313" s="1" t="s">
        <v>673</v>
      </c>
      <c r="B313" s="1">
        <v>1.0</v>
      </c>
    </row>
    <row r="314">
      <c r="A314" s="1" t="s">
        <v>37</v>
      </c>
      <c r="B314" s="1">
        <v>0.0</v>
      </c>
    </row>
    <row r="315">
      <c r="A315" s="1" t="s">
        <v>674</v>
      </c>
      <c r="B315" s="1">
        <v>1.0</v>
      </c>
    </row>
    <row r="316">
      <c r="A316" s="1" t="s">
        <v>37</v>
      </c>
      <c r="B316" s="1">
        <v>0.0</v>
      </c>
    </row>
    <row r="317">
      <c r="A317" s="1" t="s">
        <v>675</v>
      </c>
      <c r="B317" s="1">
        <v>1.0</v>
      </c>
    </row>
    <row r="318">
      <c r="A318" s="1" t="s">
        <v>37</v>
      </c>
      <c r="B318" s="1">
        <v>0.0</v>
      </c>
    </row>
    <row r="319">
      <c r="A319" s="1" t="s">
        <v>676</v>
      </c>
      <c r="B319" s="1">
        <v>1.0</v>
      </c>
    </row>
    <row r="320">
      <c r="A320" s="1" t="s">
        <v>37</v>
      </c>
      <c r="B320" s="1">
        <v>0.0</v>
      </c>
    </row>
    <row r="321">
      <c r="A321" s="1" t="s">
        <v>677</v>
      </c>
      <c r="B321" s="1">
        <v>1.0</v>
      </c>
    </row>
    <row r="322">
      <c r="A322" s="1" t="s">
        <v>678</v>
      </c>
      <c r="B322" s="1">
        <v>1.0</v>
      </c>
    </row>
    <row r="323">
      <c r="A323" s="1" t="s">
        <v>37</v>
      </c>
      <c r="B323" s="1">
        <v>0.0</v>
      </c>
    </row>
    <row r="324">
      <c r="A324" s="1" t="s">
        <v>37</v>
      </c>
      <c r="B324" s="1">
        <v>0.0</v>
      </c>
    </row>
    <row r="325">
      <c r="A325" s="1" t="s">
        <v>37</v>
      </c>
      <c r="B325" s="1">
        <v>0.0</v>
      </c>
    </row>
    <row r="326">
      <c r="A326" s="1" t="s">
        <v>679</v>
      </c>
      <c r="B326" s="1">
        <v>2.0</v>
      </c>
    </row>
    <row r="327">
      <c r="A327" s="1" t="s">
        <v>680</v>
      </c>
      <c r="B327" s="1">
        <v>2.0</v>
      </c>
    </row>
    <row r="328">
      <c r="A328" s="1" t="s">
        <v>681</v>
      </c>
      <c r="B328" s="1">
        <v>1.0</v>
      </c>
    </row>
    <row r="329">
      <c r="A329" s="1" t="s">
        <v>682</v>
      </c>
      <c r="B329" s="1">
        <v>1.0</v>
      </c>
    </row>
    <row r="330">
      <c r="A330" s="1" t="s">
        <v>37</v>
      </c>
      <c r="B330" s="1">
        <v>0.0</v>
      </c>
    </row>
    <row r="331">
      <c r="A331" s="1" t="s">
        <v>37</v>
      </c>
      <c r="B331" s="1">
        <v>0.0</v>
      </c>
    </row>
    <row r="332">
      <c r="A332" s="1" t="s">
        <v>37</v>
      </c>
      <c r="B332" s="1">
        <v>0.0</v>
      </c>
    </row>
    <row r="333">
      <c r="A333" s="1" t="s">
        <v>683</v>
      </c>
      <c r="B333" s="1">
        <v>1.0</v>
      </c>
    </row>
    <row r="334">
      <c r="A334" s="1" t="s">
        <v>37</v>
      </c>
      <c r="B334" s="1">
        <v>0.0</v>
      </c>
    </row>
    <row r="335">
      <c r="A335" s="1" t="s">
        <v>37</v>
      </c>
      <c r="B335" s="1">
        <v>0.0</v>
      </c>
    </row>
    <row r="336">
      <c r="A336" s="1" t="s">
        <v>684</v>
      </c>
      <c r="B336" s="1">
        <v>2.0</v>
      </c>
    </row>
    <row r="337">
      <c r="A337" s="1" t="s">
        <v>685</v>
      </c>
      <c r="B337" s="1">
        <v>1.0</v>
      </c>
    </row>
    <row r="338">
      <c r="A338" s="1" t="s">
        <v>686</v>
      </c>
      <c r="B338" s="1">
        <v>1.0</v>
      </c>
    </row>
    <row r="339">
      <c r="A339" s="1" t="s">
        <v>687</v>
      </c>
      <c r="B339" s="1">
        <v>1.0</v>
      </c>
    </row>
    <row r="340">
      <c r="A340" s="1" t="s">
        <v>37</v>
      </c>
      <c r="B340" s="1">
        <v>0.0</v>
      </c>
    </row>
    <row r="341">
      <c r="A341" s="1" t="s">
        <v>37</v>
      </c>
      <c r="B341" s="1">
        <v>0.0</v>
      </c>
    </row>
    <row r="342">
      <c r="A342" s="1" t="s">
        <v>37</v>
      </c>
      <c r="B342" s="1">
        <v>0.0</v>
      </c>
    </row>
    <row r="343">
      <c r="A343" s="1" t="s">
        <v>37</v>
      </c>
      <c r="B343" s="1">
        <v>0.0</v>
      </c>
    </row>
    <row r="344">
      <c r="A344" s="1" t="s">
        <v>37</v>
      </c>
      <c r="B344" s="1">
        <v>0.0</v>
      </c>
    </row>
    <row r="345">
      <c r="A345" s="1" t="s">
        <v>688</v>
      </c>
      <c r="B345" s="1">
        <v>1.0</v>
      </c>
    </row>
    <row r="346">
      <c r="A346" s="1" t="s">
        <v>37</v>
      </c>
      <c r="B346" s="1">
        <v>0.0</v>
      </c>
    </row>
    <row r="347">
      <c r="A347" s="1" t="s">
        <v>37</v>
      </c>
      <c r="B347" s="1">
        <v>0.0</v>
      </c>
    </row>
    <row r="348">
      <c r="A348" s="1" t="s">
        <v>37</v>
      </c>
      <c r="B348" s="1">
        <v>0.0</v>
      </c>
    </row>
    <row r="349">
      <c r="A349" s="1" t="s">
        <v>689</v>
      </c>
      <c r="B349" s="1">
        <v>1.0</v>
      </c>
    </row>
    <row r="350">
      <c r="A350" s="1" t="s">
        <v>690</v>
      </c>
      <c r="B350" s="1">
        <v>1.0</v>
      </c>
    </row>
    <row r="351">
      <c r="A351" s="1" t="s">
        <v>37</v>
      </c>
      <c r="B351" s="1">
        <v>0.0</v>
      </c>
    </row>
    <row r="352">
      <c r="A352" s="1" t="s">
        <v>37</v>
      </c>
      <c r="B352" s="1">
        <v>0.0</v>
      </c>
    </row>
    <row r="353">
      <c r="A353" s="1" t="s">
        <v>691</v>
      </c>
      <c r="B353" s="1">
        <v>2.0</v>
      </c>
    </row>
    <row r="354">
      <c r="A354" s="1" t="s">
        <v>692</v>
      </c>
      <c r="B354" s="1">
        <v>1.0</v>
      </c>
    </row>
    <row r="355">
      <c r="A355" s="1" t="s">
        <v>37</v>
      </c>
      <c r="B355" s="1">
        <v>0.0</v>
      </c>
    </row>
    <row r="356">
      <c r="A356" s="1" t="s">
        <v>37</v>
      </c>
      <c r="B356" s="1">
        <v>0.0</v>
      </c>
    </row>
    <row r="357">
      <c r="A357" s="1" t="s">
        <v>693</v>
      </c>
      <c r="B357" s="1">
        <v>1.0</v>
      </c>
    </row>
    <row r="358">
      <c r="A358" s="1" t="s">
        <v>37</v>
      </c>
      <c r="B358" s="1">
        <v>0.0</v>
      </c>
    </row>
    <row r="359">
      <c r="A359" s="1" t="s">
        <v>37</v>
      </c>
      <c r="B359" s="1">
        <v>0.0</v>
      </c>
    </row>
    <row r="360">
      <c r="A360" s="1" t="s">
        <v>37</v>
      </c>
      <c r="B360" s="1">
        <v>0.0</v>
      </c>
    </row>
    <row r="361">
      <c r="A361" s="1" t="s">
        <v>694</v>
      </c>
      <c r="B361" s="1">
        <v>1.0</v>
      </c>
    </row>
    <row r="362">
      <c r="A362" s="1" t="s">
        <v>37</v>
      </c>
      <c r="B362" s="1">
        <v>0.0</v>
      </c>
    </row>
    <row r="363">
      <c r="A363" s="1" t="s">
        <v>695</v>
      </c>
      <c r="B363" s="1">
        <v>1.0</v>
      </c>
    </row>
    <row r="364">
      <c r="A364" s="1" t="s">
        <v>37</v>
      </c>
      <c r="B364" s="1">
        <v>0.0</v>
      </c>
    </row>
    <row r="365">
      <c r="A365" s="1" t="s">
        <v>37</v>
      </c>
      <c r="B365" s="1">
        <v>0.0</v>
      </c>
    </row>
    <row r="366">
      <c r="A366" s="1" t="s">
        <v>37</v>
      </c>
      <c r="B366" s="1">
        <v>0.0</v>
      </c>
    </row>
    <row r="367">
      <c r="A367" s="1" t="s">
        <v>37</v>
      </c>
      <c r="B367" s="1">
        <v>0.0</v>
      </c>
    </row>
    <row r="368">
      <c r="A368" s="1" t="s">
        <v>37</v>
      </c>
      <c r="B368" s="1">
        <v>0.0</v>
      </c>
    </row>
    <row r="369">
      <c r="A369" s="1" t="s">
        <v>37</v>
      </c>
      <c r="B369" s="1">
        <v>0.0</v>
      </c>
    </row>
    <row r="370">
      <c r="A370" s="1" t="s">
        <v>696</v>
      </c>
      <c r="B370" s="1">
        <v>1.0</v>
      </c>
    </row>
    <row r="371">
      <c r="A371" s="1" t="s">
        <v>37</v>
      </c>
      <c r="B371" s="1">
        <v>0.0</v>
      </c>
    </row>
    <row r="372">
      <c r="A372" s="1" t="s">
        <v>697</v>
      </c>
      <c r="B372" s="1">
        <v>1.0</v>
      </c>
    </row>
    <row r="373">
      <c r="A373" s="1" t="s">
        <v>698</v>
      </c>
      <c r="B373" s="1">
        <v>1.0</v>
      </c>
    </row>
    <row r="374">
      <c r="A374" s="1" t="s">
        <v>699</v>
      </c>
      <c r="B374" s="1">
        <v>1.0</v>
      </c>
    </row>
    <row r="375">
      <c r="A375" s="1" t="s">
        <v>37</v>
      </c>
      <c r="B375" s="1">
        <v>0.0</v>
      </c>
    </row>
    <row r="376">
      <c r="A376" s="1" t="s">
        <v>37</v>
      </c>
      <c r="B376" s="1">
        <v>0.0</v>
      </c>
    </row>
    <row r="377">
      <c r="A377" s="1" t="s">
        <v>37</v>
      </c>
      <c r="B377" s="1">
        <v>0.0</v>
      </c>
    </row>
    <row r="378">
      <c r="A378" s="1" t="s">
        <v>700</v>
      </c>
      <c r="B378" s="1">
        <v>1.0</v>
      </c>
    </row>
    <row r="379">
      <c r="A379" s="1" t="s">
        <v>37</v>
      </c>
      <c r="B379" s="1">
        <v>0.0</v>
      </c>
    </row>
    <row r="380">
      <c r="A380" s="1" t="s">
        <v>37</v>
      </c>
      <c r="B380" s="1">
        <v>0.0</v>
      </c>
    </row>
    <row r="381">
      <c r="A381" s="1" t="s">
        <v>37</v>
      </c>
      <c r="B381" s="1">
        <v>0.0</v>
      </c>
    </row>
    <row r="382">
      <c r="A382" s="1" t="s">
        <v>37</v>
      </c>
      <c r="B382" s="1">
        <v>0.0</v>
      </c>
    </row>
    <row r="383">
      <c r="A383" s="1" t="s">
        <v>37</v>
      </c>
      <c r="B383" s="1">
        <v>0.0</v>
      </c>
    </row>
    <row r="384">
      <c r="A384" s="1" t="s">
        <v>37</v>
      </c>
      <c r="B384" s="1">
        <v>0.0</v>
      </c>
    </row>
    <row r="385">
      <c r="A385" s="1" t="s">
        <v>37</v>
      </c>
      <c r="B385" s="1">
        <v>0.0</v>
      </c>
    </row>
    <row r="386">
      <c r="A386" s="1" t="s">
        <v>37</v>
      </c>
      <c r="B386" s="1">
        <v>0.0</v>
      </c>
    </row>
    <row r="387">
      <c r="A387" s="1" t="s">
        <v>701</v>
      </c>
      <c r="B387" s="1">
        <v>1.0</v>
      </c>
    </row>
    <row r="388">
      <c r="A388" s="1" t="s">
        <v>702</v>
      </c>
      <c r="B388" s="1">
        <v>1.0</v>
      </c>
    </row>
    <row r="389">
      <c r="A389" s="1" t="s">
        <v>703</v>
      </c>
      <c r="B389" s="1">
        <v>1.0</v>
      </c>
    </row>
    <row r="390">
      <c r="A390" s="1" t="s">
        <v>37</v>
      </c>
      <c r="B390" s="1">
        <v>0.0</v>
      </c>
    </row>
    <row r="391">
      <c r="A391" s="1" t="s">
        <v>704</v>
      </c>
      <c r="B391" s="1">
        <v>1.0</v>
      </c>
    </row>
    <row r="392">
      <c r="A392" s="1" t="s">
        <v>705</v>
      </c>
      <c r="B392" s="1">
        <v>1.0</v>
      </c>
    </row>
    <row r="393">
      <c r="A393" s="1" t="s">
        <v>706</v>
      </c>
      <c r="B393" s="1">
        <v>1.0</v>
      </c>
    </row>
    <row r="394">
      <c r="A394" s="1" t="s">
        <v>37</v>
      </c>
      <c r="B394" s="1">
        <v>0.0</v>
      </c>
    </row>
    <row r="395">
      <c r="A395" s="1" t="s">
        <v>37</v>
      </c>
      <c r="B395" s="1">
        <v>0.0</v>
      </c>
    </row>
    <row r="396">
      <c r="A396" s="1" t="s">
        <v>707</v>
      </c>
      <c r="B396" s="1">
        <v>1.0</v>
      </c>
    </row>
    <row r="397">
      <c r="A397" s="1" t="s">
        <v>37</v>
      </c>
      <c r="B397" s="1">
        <v>0.0</v>
      </c>
    </row>
    <row r="398">
      <c r="A398" s="1" t="s">
        <v>708</v>
      </c>
      <c r="B398" s="1">
        <v>1.0</v>
      </c>
    </row>
    <row r="399">
      <c r="A399" s="1" t="s">
        <v>37</v>
      </c>
      <c r="B399" s="1">
        <v>0.0</v>
      </c>
    </row>
    <row r="400">
      <c r="A400" s="1" t="s">
        <v>37</v>
      </c>
      <c r="B400" s="1">
        <v>0.0</v>
      </c>
    </row>
    <row r="401">
      <c r="A401" s="1" t="s">
        <v>709</v>
      </c>
      <c r="B401" s="1">
        <v>1.0</v>
      </c>
    </row>
    <row r="402">
      <c r="A402" s="1" t="s">
        <v>710</v>
      </c>
      <c r="B402" s="1">
        <v>2.0</v>
      </c>
    </row>
    <row r="403">
      <c r="A403" s="1" t="s">
        <v>37</v>
      </c>
      <c r="B403" s="1">
        <v>0.0</v>
      </c>
    </row>
    <row r="404">
      <c r="A404" s="1" t="s">
        <v>37</v>
      </c>
      <c r="B404" s="1">
        <v>0.0</v>
      </c>
    </row>
    <row r="405">
      <c r="A405" s="1" t="s">
        <v>37</v>
      </c>
      <c r="B405" s="1">
        <v>0.0</v>
      </c>
    </row>
    <row r="406">
      <c r="A406" s="1" t="s">
        <v>711</v>
      </c>
      <c r="B406" s="1">
        <v>1.0</v>
      </c>
    </row>
    <row r="407">
      <c r="A407" s="1" t="s">
        <v>712</v>
      </c>
      <c r="B407" s="1">
        <v>1.0</v>
      </c>
    </row>
    <row r="408">
      <c r="A408" s="1" t="s">
        <v>713</v>
      </c>
      <c r="B408" s="1">
        <v>2.0</v>
      </c>
    </row>
    <row r="409">
      <c r="A409" s="1" t="s">
        <v>37</v>
      </c>
      <c r="B409" s="1">
        <v>0.0</v>
      </c>
    </row>
    <row r="410">
      <c r="A410" s="1" t="s">
        <v>37</v>
      </c>
      <c r="B410" s="1">
        <v>0.0</v>
      </c>
    </row>
    <row r="411">
      <c r="A411" s="1" t="s">
        <v>37</v>
      </c>
      <c r="B411" s="1">
        <v>0.0</v>
      </c>
    </row>
    <row r="412">
      <c r="A412" s="1" t="s">
        <v>37</v>
      </c>
      <c r="B412" s="1">
        <v>0.0</v>
      </c>
    </row>
    <row r="413">
      <c r="A413" s="1" t="s">
        <v>37</v>
      </c>
      <c r="B413" s="1">
        <v>0.0</v>
      </c>
    </row>
    <row r="414">
      <c r="A414" s="1" t="s">
        <v>37</v>
      </c>
      <c r="B414" s="1">
        <v>0.0</v>
      </c>
    </row>
    <row r="415">
      <c r="A415" s="1" t="s">
        <v>714</v>
      </c>
      <c r="B415" s="1">
        <v>1.0</v>
      </c>
    </row>
    <row r="416">
      <c r="A416" s="1" t="s">
        <v>715</v>
      </c>
      <c r="B416" s="1">
        <v>1.0</v>
      </c>
    </row>
    <row r="417">
      <c r="A417" s="1" t="s">
        <v>37</v>
      </c>
      <c r="B417" s="1">
        <v>0.0</v>
      </c>
    </row>
    <row r="418">
      <c r="A418" s="1" t="s">
        <v>716</v>
      </c>
      <c r="B418" s="1">
        <v>1.0</v>
      </c>
    </row>
    <row r="419">
      <c r="A419" s="1" t="s">
        <v>37</v>
      </c>
      <c r="B419" s="1">
        <v>0.0</v>
      </c>
    </row>
    <row r="420">
      <c r="A420" s="1" t="s">
        <v>37</v>
      </c>
      <c r="B420" s="1">
        <v>0.0</v>
      </c>
    </row>
    <row r="421">
      <c r="A421" s="1" t="s">
        <v>37</v>
      </c>
      <c r="B421" s="1">
        <v>0.0</v>
      </c>
    </row>
    <row r="422">
      <c r="A422" s="1" t="s">
        <v>37</v>
      </c>
      <c r="B422" s="1">
        <v>0.0</v>
      </c>
    </row>
    <row r="423">
      <c r="A423" s="1" t="s">
        <v>37</v>
      </c>
      <c r="B423" s="1">
        <v>0.0</v>
      </c>
    </row>
    <row r="424">
      <c r="A424" s="1" t="s">
        <v>37</v>
      </c>
      <c r="B424" s="1">
        <v>0.0</v>
      </c>
    </row>
    <row r="425">
      <c r="A425" s="1" t="s">
        <v>37</v>
      </c>
      <c r="B425" s="1">
        <v>0.0</v>
      </c>
    </row>
    <row r="426">
      <c r="A426" s="1" t="s">
        <v>37</v>
      </c>
      <c r="B426" s="1">
        <v>0.0</v>
      </c>
    </row>
    <row r="427">
      <c r="A427" s="1" t="s">
        <v>37</v>
      </c>
      <c r="B427" s="1">
        <v>0.0</v>
      </c>
    </row>
    <row r="428">
      <c r="A428" s="1" t="s">
        <v>37</v>
      </c>
      <c r="B428" s="1">
        <v>0.0</v>
      </c>
    </row>
    <row r="429">
      <c r="A429" s="1" t="s">
        <v>37</v>
      </c>
      <c r="B429" s="1">
        <v>0.0</v>
      </c>
    </row>
    <row r="430">
      <c r="A430" s="1" t="s">
        <v>37</v>
      </c>
      <c r="B430" s="1">
        <v>0.0</v>
      </c>
    </row>
    <row r="431">
      <c r="A431" s="1" t="s">
        <v>37</v>
      </c>
      <c r="B431" s="1">
        <v>0.0</v>
      </c>
    </row>
    <row r="432">
      <c r="A432" s="1" t="s">
        <v>717</v>
      </c>
      <c r="B432" s="1">
        <v>1.0</v>
      </c>
    </row>
    <row r="433">
      <c r="A433" s="1" t="s">
        <v>37</v>
      </c>
      <c r="B433" s="1">
        <v>0.0</v>
      </c>
    </row>
    <row r="434">
      <c r="A434" s="1" t="s">
        <v>37</v>
      </c>
      <c r="B434" s="1">
        <v>0.0</v>
      </c>
    </row>
    <row r="435">
      <c r="A435" s="1" t="s">
        <v>37</v>
      </c>
      <c r="B435" s="1">
        <v>0.0</v>
      </c>
    </row>
    <row r="436">
      <c r="A436" s="1" t="s">
        <v>718</v>
      </c>
      <c r="B436" s="1">
        <v>1.0</v>
      </c>
    </row>
    <row r="437">
      <c r="A437" s="1" t="s">
        <v>37</v>
      </c>
      <c r="B437" s="1">
        <v>0.0</v>
      </c>
    </row>
    <row r="438">
      <c r="A438" s="1" t="s">
        <v>719</v>
      </c>
      <c r="B438" s="1">
        <v>1.0</v>
      </c>
    </row>
    <row r="439">
      <c r="A439" s="1" t="s">
        <v>37</v>
      </c>
      <c r="B439" s="1">
        <v>0.0</v>
      </c>
    </row>
    <row r="440">
      <c r="A440" s="1" t="s">
        <v>720</v>
      </c>
      <c r="B440" s="1">
        <v>1.0</v>
      </c>
    </row>
    <row r="441">
      <c r="A441" s="1" t="s">
        <v>721</v>
      </c>
      <c r="B441" s="1">
        <v>1.0</v>
      </c>
    </row>
    <row r="442">
      <c r="A442" s="1" t="s">
        <v>722</v>
      </c>
      <c r="B442" s="1">
        <v>3.0</v>
      </c>
    </row>
    <row r="443">
      <c r="A443" s="1" t="s">
        <v>37</v>
      </c>
      <c r="B443" s="1">
        <v>0.0</v>
      </c>
    </row>
    <row r="444">
      <c r="A444" s="1" t="s">
        <v>37</v>
      </c>
      <c r="B444" s="1">
        <v>0.0</v>
      </c>
    </row>
    <row r="445">
      <c r="A445" s="1" t="s">
        <v>37</v>
      </c>
      <c r="B445" s="1">
        <v>0.0</v>
      </c>
    </row>
    <row r="446">
      <c r="A446" s="1" t="s">
        <v>37</v>
      </c>
      <c r="B446" s="1">
        <v>0.0</v>
      </c>
    </row>
    <row r="447">
      <c r="A447" s="1" t="s">
        <v>37</v>
      </c>
      <c r="B447" s="1">
        <v>0.0</v>
      </c>
    </row>
    <row r="448">
      <c r="A448" s="1" t="s">
        <v>723</v>
      </c>
      <c r="B448" s="1">
        <v>1.0</v>
      </c>
    </row>
    <row r="449">
      <c r="A449" s="1" t="s">
        <v>37</v>
      </c>
      <c r="B449" s="1">
        <v>0.0</v>
      </c>
    </row>
    <row r="450">
      <c r="A450" s="1" t="s">
        <v>37</v>
      </c>
      <c r="B450" s="1">
        <v>0.0</v>
      </c>
    </row>
    <row r="451">
      <c r="A451" s="1" t="s">
        <v>724</v>
      </c>
      <c r="B451" s="1">
        <v>1.0</v>
      </c>
    </row>
    <row r="452">
      <c r="A452" s="1" t="s">
        <v>725</v>
      </c>
      <c r="B452" s="1">
        <v>1.0</v>
      </c>
    </row>
    <row r="453">
      <c r="A453" s="1" t="s">
        <v>726</v>
      </c>
      <c r="B453" s="1">
        <v>2.0</v>
      </c>
    </row>
    <row r="454">
      <c r="A454" s="1" t="s">
        <v>37</v>
      </c>
      <c r="B454" s="1">
        <v>0.0</v>
      </c>
    </row>
    <row r="455">
      <c r="A455" s="1" t="s">
        <v>37</v>
      </c>
      <c r="B455" s="1">
        <v>0.0</v>
      </c>
    </row>
    <row r="456">
      <c r="A456" s="1" t="s">
        <v>727</v>
      </c>
      <c r="B456" s="1">
        <v>1.0</v>
      </c>
    </row>
    <row r="457">
      <c r="A457" s="1" t="s">
        <v>37</v>
      </c>
      <c r="B457" s="1">
        <v>0.0</v>
      </c>
    </row>
    <row r="458">
      <c r="A458" s="1" t="s">
        <v>37</v>
      </c>
      <c r="B458" s="1">
        <v>0.0</v>
      </c>
    </row>
    <row r="459">
      <c r="A459" s="1" t="s">
        <v>728</v>
      </c>
      <c r="B459" s="1">
        <v>1.0</v>
      </c>
    </row>
    <row r="460">
      <c r="A460" s="1" t="s">
        <v>37</v>
      </c>
      <c r="B460" s="1">
        <v>0.0</v>
      </c>
    </row>
    <row r="461">
      <c r="A461" s="1" t="s">
        <v>37</v>
      </c>
      <c r="B461" s="1">
        <v>0.0</v>
      </c>
    </row>
    <row r="462">
      <c r="A462" s="1" t="s">
        <v>729</v>
      </c>
      <c r="B462" s="1">
        <v>1.0</v>
      </c>
    </row>
    <row r="463">
      <c r="A463" s="1" t="s">
        <v>37</v>
      </c>
      <c r="B463" s="1">
        <v>0.0</v>
      </c>
    </row>
    <row r="464">
      <c r="A464" s="1" t="s">
        <v>730</v>
      </c>
      <c r="B464" s="1">
        <v>1.0</v>
      </c>
    </row>
    <row r="465">
      <c r="A465" s="1" t="s">
        <v>731</v>
      </c>
      <c r="B465" s="1">
        <v>1.0</v>
      </c>
    </row>
    <row r="466">
      <c r="A466" s="1" t="s">
        <v>37</v>
      </c>
      <c r="B466" s="1">
        <v>0.0</v>
      </c>
    </row>
    <row r="467">
      <c r="A467" s="1" t="s">
        <v>37</v>
      </c>
      <c r="B467" s="1">
        <v>0.0</v>
      </c>
    </row>
    <row r="468">
      <c r="A468" s="1" t="s">
        <v>37</v>
      </c>
      <c r="B468" s="1">
        <v>0.0</v>
      </c>
    </row>
    <row r="469">
      <c r="A469" s="1" t="s">
        <v>37</v>
      </c>
      <c r="B469" s="1">
        <v>0.0</v>
      </c>
    </row>
    <row r="470">
      <c r="A470" s="1" t="s">
        <v>37</v>
      </c>
      <c r="B470" s="1">
        <v>0.0</v>
      </c>
    </row>
    <row r="471">
      <c r="A471" s="1" t="s">
        <v>37</v>
      </c>
      <c r="B471" s="1">
        <v>0.0</v>
      </c>
    </row>
    <row r="472">
      <c r="A472" s="1" t="s">
        <v>732</v>
      </c>
      <c r="B472" s="1">
        <v>1.0</v>
      </c>
    </row>
    <row r="473">
      <c r="A473" s="1" t="s">
        <v>733</v>
      </c>
      <c r="B473" s="1">
        <v>1.0</v>
      </c>
    </row>
    <row r="474">
      <c r="A474" s="1" t="s">
        <v>37</v>
      </c>
      <c r="B474" s="1">
        <v>0.0</v>
      </c>
    </row>
    <row r="475">
      <c r="A475" s="1" t="s">
        <v>37</v>
      </c>
      <c r="B475" s="1">
        <v>0.0</v>
      </c>
    </row>
    <row r="476">
      <c r="A476" s="1" t="s">
        <v>37</v>
      </c>
      <c r="B476" s="1">
        <v>0.0</v>
      </c>
    </row>
    <row r="477">
      <c r="A477" s="1" t="s">
        <v>37</v>
      </c>
      <c r="B477" s="1">
        <v>0.0</v>
      </c>
    </row>
    <row r="478">
      <c r="A478" s="1" t="s">
        <v>734</v>
      </c>
      <c r="B478" s="1">
        <v>1.0</v>
      </c>
    </row>
    <row r="479">
      <c r="A479" s="1" t="s">
        <v>37</v>
      </c>
      <c r="B479" s="1">
        <v>0.0</v>
      </c>
    </row>
    <row r="480">
      <c r="A480" s="1" t="s">
        <v>37</v>
      </c>
      <c r="B480" s="1">
        <v>0.0</v>
      </c>
    </row>
    <row r="481">
      <c r="A481" s="1" t="s">
        <v>37</v>
      </c>
      <c r="B481" s="1">
        <v>0.0</v>
      </c>
    </row>
    <row r="482">
      <c r="A482" s="1" t="s">
        <v>37</v>
      </c>
      <c r="B482" s="1">
        <v>0.0</v>
      </c>
    </row>
    <row r="483">
      <c r="A483" s="1" t="s">
        <v>37</v>
      </c>
      <c r="B483" s="1">
        <v>0.0</v>
      </c>
    </row>
    <row r="484">
      <c r="A484" s="1" t="s">
        <v>37</v>
      </c>
      <c r="B484" s="1">
        <v>0.0</v>
      </c>
    </row>
    <row r="485">
      <c r="A485" s="1" t="s">
        <v>37</v>
      </c>
      <c r="B485" s="1">
        <v>0.0</v>
      </c>
    </row>
    <row r="486">
      <c r="A486" s="1" t="s">
        <v>735</v>
      </c>
      <c r="B486" s="1">
        <v>1.0</v>
      </c>
    </row>
    <row r="487">
      <c r="A487" s="1" t="s">
        <v>736</v>
      </c>
      <c r="B487" s="1">
        <v>1.0</v>
      </c>
    </row>
    <row r="488">
      <c r="A488" s="1" t="s">
        <v>37</v>
      </c>
      <c r="B488" s="1">
        <v>0.0</v>
      </c>
    </row>
    <row r="489">
      <c r="A489" s="1" t="s">
        <v>37</v>
      </c>
      <c r="B489" s="1">
        <v>0.0</v>
      </c>
    </row>
    <row r="490">
      <c r="A490" s="1" t="s">
        <v>37</v>
      </c>
      <c r="B490" s="1">
        <v>0.0</v>
      </c>
    </row>
    <row r="491">
      <c r="A491" s="1" t="s">
        <v>37</v>
      </c>
      <c r="B491" s="1">
        <v>0.0</v>
      </c>
    </row>
    <row r="492">
      <c r="A492" s="1" t="s">
        <v>37</v>
      </c>
      <c r="B492" s="1">
        <v>0.0</v>
      </c>
    </row>
    <row r="493">
      <c r="A493" s="1" t="s">
        <v>37</v>
      </c>
      <c r="B493" s="1">
        <v>0.0</v>
      </c>
    </row>
    <row r="494">
      <c r="A494" s="1" t="s">
        <v>37</v>
      </c>
      <c r="B494" s="1">
        <v>0.0</v>
      </c>
    </row>
    <row r="495">
      <c r="A495" s="1" t="s">
        <v>737</v>
      </c>
      <c r="B495" s="1">
        <v>1.0</v>
      </c>
    </row>
    <row r="496">
      <c r="A496" s="1" t="s">
        <v>738</v>
      </c>
      <c r="B496" s="1">
        <v>1.0</v>
      </c>
    </row>
    <row r="497">
      <c r="A497" s="1" t="s">
        <v>739</v>
      </c>
      <c r="B497" s="1">
        <v>1.0</v>
      </c>
    </row>
    <row r="498">
      <c r="A498" s="1" t="s">
        <v>740</v>
      </c>
      <c r="B498" s="1">
        <v>1.0</v>
      </c>
    </row>
    <row r="499">
      <c r="A499" s="1" t="s">
        <v>741</v>
      </c>
      <c r="B499" s="1">
        <v>3.0</v>
      </c>
    </row>
    <row r="500">
      <c r="A500" s="1" t="s">
        <v>37</v>
      </c>
      <c r="B500" s="1">
        <v>0.0</v>
      </c>
    </row>
    <row r="501">
      <c r="A501" s="1" t="s">
        <v>742</v>
      </c>
      <c r="B501" s="1">
        <v>1.0</v>
      </c>
    </row>
    <row r="502">
      <c r="A502" s="1" t="s">
        <v>743</v>
      </c>
      <c r="B502" s="1">
        <v>1.0</v>
      </c>
    </row>
    <row r="503">
      <c r="A503" s="1" t="s">
        <v>37</v>
      </c>
      <c r="B503" s="1">
        <v>0.0</v>
      </c>
    </row>
    <row r="504">
      <c r="A504" s="1" t="s">
        <v>744</v>
      </c>
      <c r="B504" s="1">
        <v>1.0</v>
      </c>
    </row>
    <row r="505">
      <c r="A505" s="1" t="s">
        <v>37</v>
      </c>
      <c r="B505" s="1">
        <v>0.0</v>
      </c>
    </row>
    <row r="506">
      <c r="A506" s="1" t="s">
        <v>37</v>
      </c>
      <c r="B506" s="1">
        <v>0.0</v>
      </c>
    </row>
    <row r="507">
      <c r="A507" s="1" t="s">
        <v>37</v>
      </c>
      <c r="B507" s="1">
        <v>0.0</v>
      </c>
    </row>
    <row r="508">
      <c r="A508" s="1" t="s">
        <v>37</v>
      </c>
      <c r="B508" s="1">
        <v>0.0</v>
      </c>
    </row>
    <row r="509">
      <c r="A509" s="1" t="s">
        <v>37</v>
      </c>
      <c r="B509" s="1">
        <v>0.0</v>
      </c>
    </row>
    <row r="510">
      <c r="A510" s="1" t="s">
        <v>37</v>
      </c>
      <c r="B510" s="1">
        <v>0.0</v>
      </c>
    </row>
    <row r="511">
      <c r="A511" s="1" t="s">
        <v>37</v>
      </c>
      <c r="B511" s="1">
        <v>0.0</v>
      </c>
    </row>
    <row r="512">
      <c r="A512" s="1" t="s">
        <v>745</v>
      </c>
      <c r="B512" s="1">
        <v>1.0</v>
      </c>
    </row>
    <row r="513">
      <c r="A513" s="1" t="s">
        <v>37</v>
      </c>
      <c r="B513" s="1">
        <v>0.0</v>
      </c>
    </row>
    <row r="514">
      <c r="A514" s="1" t="s">
        <v>37</v>
      </c>
      <c r="B514" s="1">
        <v>0.0</v>
      </c>
    </row>
    <row r="515">
      <c r="A515" s="1" t="s">
        <v>37</v>
      </c>
      <c r="B515" s="1">
        <v>0.0</v>
      </c>
    </row>
    <row r="516">
      <c r="A516" s="1" t="s">
        <v>37</v>
      </c>
      <c r="B516" s="1">
        <v>0.0</v>
      </c>
    </row>
    <row r="517">
      <c r="A517" s="1" t="s">
        <v>37</v>
      </c>
      <c r="B517" s="1">
        <v>0.0</v>
      </c>
    </row>
    <row r="518">
      <c r="A518" s="1" t="s">
        <v>37</v>
      </c>
      <c r="B518" s="1">
        <v>0.0</v>
      </c>
    </row>
    <row r="519">
      <c r="A519" s="1" t="s">
        <v>746</v>
      </c>
      <c r="B519" s="1">
        <v>1.0</v>
      </c>
    </row>
    <row r="520">
      <c r="A520" s="1" t="s">
        <v>37</v>
      </c>
      <c r="B520" s="1">
        <v>0.0</v>
      </c>
    </row>
    <row r="521">
      <c r="A521" s="1" t="s">
        <v>37</v>
      </c>
      <c r="B521" s="1">
        <v>0.0</v>
      </c>
    </row>
    <row r="522">
      <c r="A522" s="1" t="s">
        <v>37</v>
      </c>
      <c r="B522" s="1">
        <v>0.0</v>
      </c>
    </row>
    <row r="523">
      <c r="A523" s="1" t="s">
        <v>747</v>
      </c>
      <c r="B523" s="1">
        <v>1.0</v>
      </c>
    </row>
    <row r="524">
      <c r="A524" s="1" t="s">
        <v>748</v>
      </c>
      <c r="B524" s="1">
        <v>1.0</v>
      </c>
    </row>
    <row r="525">
      <c r="A525" s="1" t="s">
        <v>37</v>
      </c>
      <c r="B525" s="1">
        <v>0.0</v>
      </c>
    </row>
    <row r="526">
      <c r="A526" s="1" t="s">
        <v>749</v>
      </c>
      <c r="B526" s="1">
        <v>1.0</v>
      </c>
    </row>
    <row r="527">
      <c r="A527" s="1" t="s">
        <v>37</v>
      </c>
      <c r="B527" s="1">
        <v>0.0</v>
      </c>
    </row>
    <row r="528">
      <c r="A528" s="1" t="s">
        <v>37</v>
      </c>
      <c r="B528" s="1">
        <v>0.0</v>
      </c>
    </row>
    <row r="529">
      <c r="A529" s="1" t="s">
        <v>37</v>
      </c>
      <c r="B529" s="1">
        <v>0.0</v>
      </c>
    </row>
    <row r="530">
      <c r="A530" s="1" t="s">
        <v>37</v>
      </c>
      <c r="B530" s="1">
        <v>0.0</v>
      </c>
    </row>
    <row r="531">
      <c r="A531" s="1" t="s">
        <v>37</v>
      </c>
      <c r="B531" s="1">
        <v>0.0</v>
      </c>
    </row>
    <row r="532">
      <c r="A532" s="1" t="s">
        <v>37</v>
      </c>
      <c r="B532" s="1">
        <v>0.0</v>
      </c>
    </row>
    <row r="533">
      <c r="A533" s="1" t="s">
        <v>750</v>
      </c>
      <c r="B533" s="1">
        <v>1.0</v>
      </c>
    </row>
    <row r="534">
      <c r="A534" s="1" t="s">
        <v>751</v>
      </c>
      <c r="B534" s="1">
        <v>1.0</v>
      </c>
    </row>
    <row r="535">
      <c r="A535" s="1" t="s">
        <v>752</v>
      </c>
      <c r="B535" s="1">
        <v>1.0</v>
      </c>
    </row>
    <row r="536">
      <c r="A536" s="1" t="s">
        <v>753</v>
      </c>
      <c r="B536" s="1">
        <v>1.0</v>
      </c>
    </row>
    <row r="537">
      <c r="A537" s="1" t="s">
        <v>754</v>
      </c>
      <c r="B537" s="1">
        <v>1.0</v>
      </c>
    </row>
    <row r="538">
      <c r="A538" s="1" t="s">
        <v>755</v>
      </c>
      <c r="B538" s="1">
        <v>1.0</v>
      </c>
    </row>
    <row r="539">
      <c r="A539" s="1" t="s">
        <v>37</v>
      </c>
      <c r="B539" s="1">
        <v>0.0</v>
      </c>
    </row>
    <row r="540">
      <c r="A540" s="1" t="s">
        <v>37</v>
      </c>
      <c r="B540" s="1">
        <v>0.0</v>
      </c>
    </row>
    <row r="541">
      <c r="A541" s="1" t="s">
        <v>37</v>
      </c>
      <c r="B541" s="1">
        <v>0.0</v>
      </c>
    </row>
    <row r="542">
      <c r="A542" s="1" t="s">
        <v>37</v>
      </c>
      <c r="B542" s="1">
        <v>0.0</v>
      </c>
    </row>
    <row r="543">
      <c r="A543" s="1" t="s">
        <v>37</v>
      </c>
      <c r="B543" s="1">
        <v>0.0</v>
      </c>
    </row>
    <row r="544">
      <c r="A544" s="1" t="s">
        <v>756</v>
      </c>
      <c r="B544" s="1">
        <v>1.0</v>
      </c>
    </row>
    <row r="545">
      <c r="A545" s="1" t="s">
        <v>37</v>
      </c>
      <c r="B545" s="1">
        <v>0.0</v>
      </c>
    </row>
    <row r="546">
      <c r="A546" s="1" t="s">
        <v>37</v>
      </c>
      <c r="B546" s="1">
        <v>0.0</v>
      </c>
    </row>
    <row r="547">
      <c r="A547" s="1" t="s">
        <v>37</v>
      </c>
      <c r="B547" s="1">
        <v>0.0</v>
      </c>
    </row>
    <row r="548">
      <c r="A548" s="1" t="s">
        <v>757</v>
      </c>
      <c r="B548" s="1">
        <v>1.0</v>
      </c>
    </row>
    <row r="549">
      <c r="A549" s="1" t="s">
        <v>37</v>
      </c>
      <c r="B549" s="1">
        <v>0.0</v>
      </c>
    </row>
    <row r="550">
      <c r="A550" s="1" t="s">
        <v>37</v>
      </c>
      <c r="B550" s="1">
        <v>0.0</v>
      </c>
    </row>
    <row r="551">
      <c r="A551" s="1" t="s">
        <v>758</v>
      </c>
      <c r="B551" s="1">
        <v>1.0</v>
      </c>
    </row>
    <row r="552">
      <c r="A552" s="1" t="s">
        <v>37</v>
      </c>
      <c r="B552" s="1">
        <v>0.0</v>
      </c>
    </row>
    <row r="553">
      <c r="A553" s="1" t="s">
        <v>759</v>
      </c>
      <c r="B553" s="1">
        <v>2.0</v>
      </c>
    </row>
    <row r="554">
      <c r="A554" s="1" t="s">
        <v>760</v>
      </c>
      <c r="B554" s="1">
        <v>1.0</v>
      </c>
    </row>
    <row r="555">
      <c r="A555" s="1" t="s">
        <v>37</v>
      </c>
      <c r="B555" s="1">
        <v>0.0</v>
      </c>
    </row>
    <row r="556">
      <c r="A556" s="1" t="s">
        <v>761</v>
      </c>
      <c r="B556" s="1">
        <v>1.0</v>
      </c>
    </row>
    <row r="557">
      <c r="A557" s="1" t="s">
        <v>762</v>
      </c>
      <c r="B557" s="1">
        <v>2.0</v>
      </c>
    </row>
    <row r="558">
      <c r="A558" s="1" t="s">
        <v>37</v>
      </c>
      <c r="B558" s="1">
        <v>0.0</v>
      </c>
    </row>
    <row r="559">
      <c r="A559" s="1" t="s">
        <v>37</v>
      </c>
      <c r="B559" s="1">
        <v>0.0</v>
      </c>
    </row>
    <row r="560">
      <c r="A560" s="1" t="s">
        <v>37</v>
      </c>
      <c r="B560" s="1">
        <v>0.0</v>
      </c>
    </row>
    <row r="561">
      <c r="A561" s="1" t="s">
        <v>37</v>
      </c>
      <c r="B561" s="1">
        <v>0.0</v>
      </c>
    </row>
    <row r="562">
      <c r="A562" s="1" t="s">
        <v>763</v>
      </c>
      <c r="B562" s="1">
        <v>2.0</v>
      </c>
    </row>
    <row r="563">
      <c r="A563" s="1" t="s">
        <v>37</v>
      </c>
      <c r="B563" s="1">
        <v>0.0</v>
      </c>
    </row>
    <row r="564">
      <c r="A564" s="1" t="s">
        <v>37</v>
      </c>
      <c r="B564" s="1">
        <v>0.0</v>
      </c>
    </row>
    <row r="565">
      <c r="A565" s="1" t="s">
        <v>764</v>
      </c>
      <c r="B565" s="1">
        <v>1.0</v>
      </c>
    </row>
    <row r="566">
      <c r="A566" s="1" t="s">
        <v>765</v>
      </c>
      <c r="B566" s="1">
        <v>1.0</v>
      </c>
    </row>
    <row r="567">
      <c r="A567" s="1" t="s">
        <v>37</v>
      </c>
      <c r="B567" s="1">
        <v>0.0</v>
      </c>
    </row>
    <row r="568">
      <c r="A568" s="1" t="s">
        <v>37</v>
      </c>
      <c r="B568" s="1">
        <v>0.0</v>
      </c>
    </row>
    <row r="569">
      <c r="A569" s="1" t="s">
        <v>37</v>
      </c>
      <c r="B569" s="1">
        <v>0.0</v>
      </c>
    </row>
    <row r="570">
      <c r="A570" s="1" t="s">
        <v>37</v>
      </c>
      <c r="B570" s="1">
        <v>0.0</v>
      </c>
    </row>
    <row r="571">
      <c r="A571" s="1" t="s">
        <v>37</v>
      </c>
      <c r="B571" s="1">
        <v>0.0</v>
      </c>
      <c r="D571" s="1"/>
      <c r="E571" s="1"/>
    </row>
    <row r="572">
      <c r="A572" s="1" t="s">
        <v>37</v>
      </c>
      <c r="B572" s="1">
        <v>0.0</v>
      </c>
      <c r="D572" s="1"/>
      <c r="E572" s="1"/>
    </row>
    <row r="573">
      <c r="A573" s="1" t="s">
        <v>37</v>
      </c>
      <c r="B573" s="1">
        <v>0.0</v>
      </c>
      <c r="D573" s="1"/>
      <c r="E573" s="1"/>
    </row>
    <row r="574">
      <c r="A574" s="1" t="s">
        <v>37</v>
      </c>
      <c r="B574" s="1">
        <v>0.0</v>
      </c>
      <c r="D574" s="1"/>
      <c r="E574" s="1"/>
    </row>
    <row r="575">
      <c r="A575" s="1" t="s">
        <v>766</v>
      </c>
      <c r="B575" s="1">
        <v>1.0</v>
      </c>
      <c r="D575" s="1"/>
      <c r="E575" s="1"/>
    </row>
    <row r="576">
      <c r="A576" s="1" t="s">
        <v>767</v>
      </c>
      <c r="B576" s="1">
        <v>1.0</v>
      </c>
      <c r="D576" s="1"/>
      <c r="E576" s="1"/>
    </row>
    <row r="577">
      <c r="A577" s="1" t="s">
        <v>768</v>
      </c>
      <c r="B577" s="1">
        <v>1.0</v>
      </c>
      <c r="D577" s="1"/>
      <c r="E577" s="1"/>
    </row>
    <row r="578">
      <c r="A578" s="1" t="s">
        <v>37</v>
      </c>
      <c r="B578" s="1">
        <v>0.0</v>
      </c>
      <c r="D578" s="1"/>
      <c r="E578" s="1"/>
    </row>
    <row r="579">
      <c r="A579" s="1" t="s">
        <v>37</v>
      </c>
      <c r="B579" s="1">
        <v>0.0</v>
      </c>
      <c r="D579" s="1"/>
      <c r="E579" s="1"/>
    </row>
    <row r="580">
      <c r="A580" s="1" t="s">
        <v>769</v>
      </c>
      <c r="B580" s="1">
        <v>1.0</v>
      </c>
      <c r="D580" s="1"/>
      <c r="E580" s="1"/>
    </row>
    <row r="581">
      <c r="A581" s="1" t="s">
        <v>37</v>
      </c>
      <c r="B581" s="1">
        <v>0.0</v>
      </c>
      <c r="D581" s="1"/>
      <c r="E581" s="1"/>
    </row>
    <row r="582">
      <c r="A582" s="1" t="s">
        <v>37</v>
      </c>
      <c r="B582" s="1">
        <v>0.0</v>
      </c>
      <c r="D582" s="1"/>
      <c r="E582" s="1"/>
    </row>
    <row r="583">
      <c r="A583" s="1" t="s">
        <v>770</v>
      </c>
      <c r="B583" s="1">
        <v>1.0</v>
      </c>
      <c r="D583" s="1"/>
      <c r="E583" s="1"/>
    </row>
    <row r="584">
      <c r="A584" s="1" t="s">
        <v>771</v>
      </c>
      <c r="B584" s="1">
        <v>1.0</v>
      </c>
      <c r="D584" s="1"/>
      <c r="E584" s="1"/>
    </row>
    <row r="585">
      <c r="A585" s="1" t="s">
        <v>772</v>
      </c>
      <c r="B585" s="1">
        <v>1.0</v>
      </c>
      <c r="D585" s="1"/>
      <c r="E585" s="1"/>
    </row>
    <row r="586">
      <c r="A586" s="1" t="s">
        <v>37</v>
      </c>
      <c r="B586" s="1">
        <v>0.0</v>
      </c>
      <c r="D586" s="1"/>
      <c r="E586" s="1"/>
    </row>
    <row r="587">
      <c r="A587" s="1" t="s">
        <v>773</v>
      </c>
      <c r="B587" s="1">
        <v>1.0</v>
      </c>
      <c r="D587" s="1"/>
      <c r="E587" s="1"/>
    </row>
    <row r="588">
      <c r="A588" s="1" t="s">
        <v>37</v>
      </c>
      <c r="B588" s="1">
        <v>0.0</v>
      </c>
      <c r="D588" s="1"/>
      <c r="E588" s="1"/>
    </row>
    <row r="589">
      <c r="A589" s="1" t="s">
        <v>37</v>
      </c>
      <c r="B589" s="1">
        <v>0.0</v>
      </c>
      <c r="D589" s="1"/>
      <c r="E589" s="1"/>
    </row>
    <row r="590">
      <c r="A590" s="1" t="s">
        <v>37</v>
      </c>
      <c r="B590" s="1">
        <v>0.0</v>
      </c>
    </row>
    <row r="591">
      <c r="A591" s="1" t="s">
        <v>37</v>
      </c>
      <c r="B591" s="1">
        <v>0.0</v>
      </c>
    </row>
    <row r="592">
      <c r="A592" s="1" t="s">
        <v>774</v>
      </c>
      <c r="B592" s="1">
        <v>1.0</v>
      </c>
    </row>
    <row r="593">
      <c r="A593" s="1" t="s">
        <v>775</v>
      </c>
      <c r="B593" s="1">
        <v>1.0</v>
      </c>
    </row>
    <row r="594">
      <c r="A594" s="1" t="s">
        <v>37</v>
      </c>
      <c r="B594" s="1">
        <v>0.0</v>
      </c>
    </row>
    <row r="595">
      <c r="A595" s="1" t="s">
        <v>776</v>
      </c>
      <c r="B595" s="1">
        <v>1.0</v>
      </c>
    </row>
    <row r="596">
      <c r="A596" s="1" t="s">
        <v>37</v>
      </c>
      <c r="B596" s="1">
        <v>0.0</v>
      </c>
    </row>
    <row r="597">
      <c r="A597" s="1" t="s">
        <v>37</v>
      </c>
      <c r="B597" s="1">
        <v>0.0</v>
      </c>
    </row>
    <row r="598">
      <c r="A598" s="1" t="s">
        <v>37</v>
      </c>
      <c r="B598" s="1">
        <v>0.0</v>
      </c>
    </row>
    <row r="599">
      <c r="A599" s="1" t="s">
        <v>37</v>
      </c>
      <c r="B599" s="1">
        <v>0.0</v>
      </c>
    </row>
    <row r="600">
      <c r="A600" s="1" t="s">
        <v>777</v>
      </c>
      <c r="B600" s="1">
        <v>1.0</v>
      </c>
    </row>
    <row r="601">
      <c r="A601" s="1" t="s">
        <v>778</v>
      </c>
      <c r="B601" s="1">
        <v>1.0</v>
      </c>
    </row>
    <row r="602">
      <c r="A602" s="1" t="s">
        <v>37</v>
      </c>
      <c r="B602" s="1">
        <v>0.0</v>
      </c>
    </row>
    <row r="603">
      <c r="A603" s="1" t="s">
        <v>37</v>
      </c>
      <c r="B603" s="1">
        <v>0.0</v>
      </c>
    </row>
    <row r="604">
      <c r="A604" s="1" t="s">
        <v>779</v>
      </c>
      <c r="B604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</cols>
  <sheetData>
    <row r="1">
      <c r="A1" s="1" t="s">
        <v>163</v>
      </c>
      <c r="D1" s="1" t="s">
        <v>1</v>
      </c>
    </row>
    <row r="2">
      <c r="A2" s="1" t="s">
        <v>780</v>
      </c>
      <c r="B2" s="1">
        <v>2.0</v>
      </c>
      <c r="E2" s="1" t="s">
        <v>2</v>
      </c>
      <c r="F2" s="1" t="s">
        <v>30</v>
      </c>
      <c r="H2" s="1" t="s">
        <v>6</v>
      </c>
      <c r="I2" s="1" t="s">
        <v>781</v>
      </c>
    </row>
    <row r="3">
      <c r="A3" s="1" t="s">
        <v>782</v>
      </c>
      <c r="B3" s="1">
        <v>1.0</v>
      </c>
      <c r="E3" s="1">
        <v>1.0</v>
      </c>
      <c r="F3" s="1">
        <v>1.0</v>
      </c>
      <c r="H3" s="5">
        <f>I3/10</f>
        <v>0.8433333333</v>
      </c>
      <c r="I3" s="5">
        <f>H9/60</f>
        <v>8.433333333</v>
      </c>
    </row>
    <row r="4">
      <c r="A4" s="1" t="s">
        <v>783</v>
      </c>
      <c r="B4" s="1">
        <v>2.0</v>
      </c>
      <c r="E4" s="1">
        <v>1.382898</v>
      </c>
      <c r="F4" s="1">
        <v>2.0</v>
      </c>
      <c r="H4" s="1" t="s">
        <v>9</v>
      </c>
    </row>
    <row r="5">
      <c r="A5" s="1" t="s">
        <v>37</v>
      </c>
      <c r="B5" s="1">
        <v>0.0</v>
      </c>
      <c r="E5" s="1">
        <v>1.590723</v>
      </c>
      <c r="F5" s="1">
        <v>3.0</v>
      </c>
      <c r="H5" s="5">
        <f>SQRT(506)/600</f>
        <v>0.0374907396</v>
      </c>
    </row>
    <row r="6">
      <c r="A6" s="1" t="s">
        <v>37</v>
      </c>
      <c r="B6" s="1">
        <v>0.0</v>
      </c>
      <c r="E6" s="1">
        <v>2.093196</v>
      </c>
      <c r="F6" s="1">
        <v>4.0</v>
      </c>
    </row>
    <row r="7">
      <c r="A7" s="1" t="s">
        <v>784</v>
      </c>
      <c r="B7" s="1">
        <v>2.0</v>
      </c>
      <c r="E7" s="1">
        <v>2.0</v>
      </c>
      <c r="F7" s="1">
        <v>5.0</v>
      </c>
    </row>
    <row r="8">
      <c r="A8" s="1" t="s">
        <v>37</v>
      </c>
      <c r="B8" s="1">
        <v>0.0</v>
      </c>
      <c r="E8" s="1">
        <v>2.968147</v>
      </c>
      <c r="F8" s="1">
        <v>6.0</v>
      </c>
      <c r="H8" s="1" t="s">
        <v>554</v>
      </c>
    </row>
    <row r="9">
      <c r="A9" s="1" t="s">
        <v>785</v>
      </c>
      <c r="B9" s="1">
        <v>1.0</v>
      </c>
      <c r="E9" s="1">
        <v>3.015414</v>
      </c>
      <c r="F9" s="1">
        <v>7.0</v>
      </c>
      <c r="H9" s="1">
        <v>506.0</v>
      </c>
    </row>
    <row r="10">
      <c r="A10" s="1" t="s">
        <v>37</v>
      </c>
      <c r="B10" s="1">
        <v>0.0</v>
      </c>
      <c r="E10" s="1">
        <v>3.321736</v>
      </c>
      <c r="F10" s="1">
        <v>8.0</v>
      </c>
    </row>
    <row r="11">
      <c r="A11" s="1" t="s">
        <v>786</v>
      </c>
      <c r="B11" s="1">
        <v>1.0</v>
      </c>
      <c r="E11" s="1">
        <v>6.074598</v>
      </c>
      <c r="F11" s="1">
        <v>9.0</v>
      </c>
    </row>
    <row r="12">
      <c r="A12" s="1" t="s">
        <v>37</v>
      </c>
      <c r="B12" s="1">
        <v>0.0</v>
      </c>
      <c r="E12" s="1">
        <v>6.624282</v>
      </c>
      <c r="F12" s="1">
        <v>10.0</v>
      </c>
    </row>
    <row r="13">
      <c r="A13" s="1" t="s">
        <v>37</v>
      </c>
      <c r="B13" s="1">
        <v>0.0</v>
      </c>
      <c r="E13" s="1">
        <v>8.864408</v>
      </c>
      <c r="F13" s="1">
        <v>11.0</v>
      </c>
    </row>
    <row r="14">
      <c r="A14" s="1" t="s">
        <v>787</v>
      </c>
      <c r="B14" s="1">
        <v>1.0</v>
      </c>
      <c r="E14" s="1">
        <v>10.46339</v>
      </c>
      <c r="F14" s="1">
        <v>12.0</v>
      </c>
    </row>
    <row r="15">
      <c r="A15" s="1" t="s">
        <v>788</v>
      </c>
      <c r="B15" s="1">
        <v>1.0</v>
      </c>
      <c r="E15" s="1">
        <v>13.493467</v>
      </c>
      <c r="F15" s="1">
        <v>13.0</v>
      </c>
    </row>
    <row r="16">
      <c r="A16" s="1" t="s">
        <v>789</v>
      </c>
      <c r="B16" s="1">
        <v>1.0</v>
      </c>
      <c r="E16" s="1">
        <v>14.248848</v>
      </c>
      <c r="F16" s="1">
        <v>14.0</v>
      </c>
    </row>
    <row r="17">
      <c r="A17" s="1" t="s">
        <v>790</v>
      </c>
      <c r="B17" s="1">
        <v>1.0</v>
      </c>
      <c r="E17" s="1">
        <v>15.396726</v>
      </c>
      <c r="F17" s="1">
        <v>15.0</v>
      </c>
    </row>
    <row r="18">
      <c r="A18" s="1" t="s">
        <v>37</v>
      </c>
      <c r="B18" s="1">
        <v>0.0</v>
      </c>
      <c r="E18" s="1">
        <v>16.092531</v>
      </c>
      <c r="F18" s="1">
        <v>16.0</v>
      </c>
    </row>
    <row r="19">
      <c r="A19" s="1" t="s">
        <v>791</v>
      </c>
      <c r="B19" s="1">
        <v>2.0</v>
      </c>
      <c r="E19" s="1">
        <v>18.669267</v>
      </c>
      <c r="F19" s="1">
        <v>17.0</v>
      </c>
    </row>
    <row r="20">
      <c r="A20" s="1" t="s">
        <v>792</v>
      </c>
      <c r="B20" s="1">
        <v>1.0</v>
      </c>
      <c r="E20" s="1">
        <v>18.67714</v>
      </c>
      <c r="F20" s="1">
        <v>18.0</v>
      </c>
    </row>
    <row r="21">
      <c r="A21" s="1" t="s">
        <v>37</v>
      </c>
      <c r="B21" s="1">
        <v>0.0</v>
      </c>
      <c r="E21" s="1">
        <v>19.891912</v>
      </c>
      <c r="F21" s="1">
        <v>19.0</v>
      </c>
    </row>
    <row r="22">
      <c r="A22" s="1" t="s">
        <v>793</v>
      </c>
      <c r="B22" s="1">
        <v>2.0</v>
      </c>
      <c r="E22" s="1">
        <v>21.021623</v>
      </c>
      <c r="F22" s="1">
        <v>20.0</v>
      </c>
    </row>
    <row r="23">
      <c r="A23" s="1" t="s">
        <v>37</v>
      </c>
      <c r="B23" s="1">
        <v>0.0</v>
      </c>
      <c r="E23" s="1">
        <v>21.434466</v>
      </c>
      <c r="F23" s="1">
        <v>21.0</v>
      </c>
    </row>
    <row r="24">
      <c r="A24" s="1" t="s">
        <v>794</v>
      </c>
      <c r="B24" s="1">
        <v>1.0</v>
      </c>
      <c r="E24" s="1">
        <v>23.457355</v>
      </c>
      <c r="F24" s="1">
        <v>22.0</v>
      </c>
    </row>
    <row r="25">
      <c r="A25" s="1" t="s">
        <v>37</v>
      </c>
      <c r="B25" s="1">
        <v>0.0</v>
      </c>
      <c r="E25" s="1">
        <v>25.152709</v>
      </c>
      <c r="F25" s="1">
        <v>23.0</v>
      </c>
    </row>
    <row r="26">
      <c r="A26" s="1" t="s">
        <v>795</v>
      </c>
      <c r="B26" s="1">
        <v>2.0</v>
      </c>
      <c r="E26" s="1">
        <v>25.531443</v>
      </c>
      <c r="F26" s="1">
        <v>24.0</v>
      </c>
    </row>
    <row r="27">
      <c r="A27" s="1" t="s">
        <v>796</v>
      </c>
      <c r="B27" s="1">
        <v>3.0</v>
      </c>
      <c r="E27" s="1">
        <v>26.507285</v>
      </c>
      <c r="F27" s="1">
        <v>25.0</v>
      </c>
    </row>
    <row r="28">
      <c r="A28" s="1" t="s">
        <v>37</v>
      </c>
      <c r="B28" s="1">
        <v>0.0</v>
      </c>
      <c r="E28" s="1">
        <v>26.921398</v>
      </c>
      <c r="F28" s="1">
        <v>26.0</v>
      </c>
    </row>
    <row r="29">
      <c r="A29" s="1" t="s">
        <v>37</v>
      </c>
      <c r="B29" s="1">
        <v>0.0</v>
      </c>
      <c r="E29" s="1">
        <v>26.939029</v>
      </c>
      <c r="F29" s="1">
        <v>27.0</v>
      </c>
    </row>
    <row r="30">
      <c r="A30" s="1" t="s">
        <v>797</v>
      </c>
      <c r="B30" s="1">
        <v>1.0</v>
      </c>
      <c r="E30" s="1">
        <v>29.027842</v>
      </c>
      <c r="F30" s="1">
        <v>28.0</v>
      </c>
    </row>
    <row r="31">
      <c r="A31" s="1" t="s">
        <v>37</v>
      </c>
      <c r="B31" s="1">
        <v>0.0</v>
      </c>
      <c r="E31" s="1">
        <v>32.443528</v>
      </c>
      <c r="F31" s="1">
        <v>29.0</v>
      </c>
    </row>
    <row r="32">
      <c r="A32" s="1" t="s">
        <v>37</v>
      </c>
      <c r="B32" s="1">
        <v>0.0</v>
      </c>
      <c r="E32" s="1">
        <v>33.626743</v>
      </c>
      <c r="F32" s="1">
        <v>30.0</v>
      </c>
    </row>
    <row r="33">
      <c r="A33" s="1" t="s">
        <v>798</v>
      </c>
      <c r="B33" s="1">
        <v>1.0</v>
      </c>
      <c r="E33" s="1">
        <v>34.007764</v>
      </c>
      <c r="F33" s="1">
        <v>31.0</v>
      </c>
    </row>
    <row r="34">
      <c r="A34" s="1" t="s">
        <v>799</v>
      </c>
      <c r="B34" s="1">
        <v>1.0</v>
      </c>
      <c r="E34" s="1">
        <v>37.61901</v>
      </c>
      <c r="F34" s="1">
        <v>32.0</v>
      </c>
    </row>
    <row r="35">
      <c r="A35" s="1" t="s">
        <v>800</v>
      </c>
      <c r="B35" s="1">
        <v>1.0</v>
      </c>
      <c r="E35" s="1">
        <v>38.341156</v>
      </c>
      <c r="F35" s="1">
        <v>33.0</v>
      </c>
    </row>
    <row r="36">
      <c r="A36" s="1" t="s">
        <v>37</v>
      </c>
      <c r="B36" s="1">
        <v>0.0</v>
      </c>
      <c r="E36" s="1">
        <v>39.388405</v>
      </c>
      <c r="F36" s="1">
        <v>34.0</v>
      </c>
    </row>
    <row r="37">
      <c r="A37" s="1" t="s">
        <v>37</v>
      </c>
      <c r="B37" s="1">
        <v>0.0</v>
      </c>
      <c r="E37" s="1">
        <v>39.893111</v>
      </c>
      <c r="F37" s="1">
        <v>35.0</v>
      </c>
    </row>
    <row r="38">
      <c r="A38" s="1" t="s">
        <v>801</v>
      </c>
      <c r="B38" s="1">
        <v>1.0</v>
      </c>
      <c r="E38" s="1">
        <v>40.534708</v>
      </c>
      <c r="F38" s="1">
        <v>36.0</v>
      </c>
    </row>
    <row r="39">
      <c r="A39" s="1" t="s">
        <v>802</v>
      </c>
      <c r="B39" s="1">
        <v>1.0</v>
      </c>
      <c r="E39" s="1">
        <v>41.475373</v>
      </c>
      <c r="F39" s="1">
        <v>37.0</v>
      </c>
    </row>
    <row r="40">
      <c r="A40" s="1" t="s">
        <v>803</v>
      </c>
      <c r="B40" s="1">
        <v>2.0</v>
      </c>
      <c r="E40" s="1">
        <v>44.143058</v>
      </c>
      <c r="F40" s="1">
        <v>38.0</v>
      </c>
    </row>
    <row r="41">
      <c r="A41" s="1" t="s">
        <v>804</v>
      </c>
      <c r="B41" s="1">
        <v>1.0</v>
      </c>
      <c r="E41" s="1">
        <v>44.532236</v>
      </c>
      <c r="F41" s="1">
        <v>39.0</v>
      </c>
    </row>
    <row r="42">
      <c r="A42" s="1" t="s">
        <v>805</v>
      </c>
      <c r="B42" s="1">
        <v>1.0</v>
      </c>
      <c r="E42" s="1">
        <v>45.036292</v>
      </c>
      <c r="F42" s="1">
        <v>40.0</v>
      </c>
    </row>
    <row r="43">
      <c r="A43" s="1" t="s">
        <v>37</v>
      </c>
      <c r="B43" s="1">
        <v>0.0</v>
      </c>
      <c r="E43" s="1">
        <v>46.008231</v>
      </c>
      <c r="F43" s="1">
        <v>41.0</v>
      </c>
    </row>
    <row r="44">
      <c r="A44" s="1" t="s">
        <v>37</v>
      </c>
      <c r="B44" s="1">
        <v>0.0</v>
      </c>
      <c r="E44" s="1">
        <v>47.018978</v>
      </c>
      <c r="F44" s="1">
        <v>42.0</v>
      </c>
    </row>
    <row r="45">
      <c r="A45" s="1" t="s">
        <v>806</v>
      </c>
      <c r="B45" s="1">
        <v>2.0</v>
      </c>
      <c r="E45" s="1">
        <v>49.0171</v>
      </c>
      <c r="F45" s="1">
        <v>43.0</v>
      </c>
    </row>
    <row r="46">
      <c r="A46" s="1" t="s">
        <v>807</v>
      </c>
      <c r="B46" s="1">
        <v>1.0</v>
      </c>
      <c r="E46" s="1">
        <v>50.60408</v>
      </c>
      <c r="F46" s="1">
        <v>44.0</v>
      </c>
    </row>
    <row r="47">
      <c r="A47" s="1" t="s">
        <v>808</v>
      </c>
      <c r="B47" s="1">
        <v>1.0</v>
      </c>
      <c r="E47" s="1">
        <v>51.375359</v>
      </c>
      <c r="F47" s="1">
        <v>45.0</v>
      </c>
    </row>
    <row r="48">
      <c r="A48" s="1" t="s">
        <v>809</v>
      </c>
      <c r="B48" s="1">
        <v>1.0</v>
      </c>
      <c r="E48" s="1">
        <v>52.499109</v>
      </c>
      <c r="F48" s="1">
        <v>46.0</v>
      </c>
    </row>
    <row r="49">
      <c r="A49" s="1" t="s">
        <v>37</v>
      </c>
      <c r="B49" s="1">
        <v>0.0</v>
      </c>
      <c r="E49" s="1">
        <v>53.623974</v>
      </c>
      <c r="F49" s="1">
        <v>47.0</v>
      </c>
    </row>
    <row r="50">
      <c r="A50" s="1" t="s">
        <v>810</v>
      </c>
      <c r="B50" s="1">
        <v>1.0</v>
      </c>
      <c r="E50" s="1">
        <v>54.102747</v>
      </c>
      <c r="F50" s="1">
        <v>48.0</v>
      </c>
    </row>
    <row r="51">
      <c r="A51" s="1" t="s">
        <v>811</v>
      </c>
      <c r="B51" s="1">
        <v>1.0</v>
      </c>
      <c r="E51" s="1">
        <v>57.086098</v>
      </c>
      <c r="F51" s="1">
        <v>49.0</v>
      </c>
    </row>
    <row r="52">
      <c r="A52" s="1" t="s">
        <v>812</v>
      </c>
      <c r="B52" s="1">
        <v>1.0</v>
      </c>
      <c r="E52" s="1">
        <v>57.21451</v>
      </c>
      <c r="F52" s="1">
        <v>50.0</v>
      </c>
    </row>
    <row r="53">
      <c r="A53" s="1" t="s">
        <v>813</v>
      </c>
      <c r="B53" s="1">
        <v>1.0</v>
      </c>
      <c r="E53" s="1">
        <v>57.230298</v>
      </c>
      <c r="F53" s="1">
        <v>51.0</v>
      </c>
    </row>
    <row r="54">
      <c r="A54" s="1" t="s">
        <v>814</v>
      </c>
      <c r="B54" s="1">
        <v>1.0</v>
      </c>
      <c r="E54" s="1">
        <v>60.991265</v>
      </c>
      <c r="F54" s="1">
        <v>52.0</v>
      </c>
    </row>
    <row r="55">
      <c r="A55" s="1" t="s">
        <v>815</v>
      </c>
      <c r="B55" s="1">
        <v>1.0</v>
      </c>
      <c r="E55" s="1">
        <v>63.301184</v>
      </c>
      <c r="F55" s="1">
        <v>53.0</v>
      </c>
    </row>
    <row r="56">
      <c r="A56" s="1" t="s">
        <v>37</v>
      </c>
      <c r="B56" s="1">
        <v>0.0</v>
      </c>
      <c r="E56" s="1">
        <v>67.239249</v>
      </c>
      <c r="F56" s="1">
        <v>54.0</v>
      </c>
    </row>
    <row r="57">
      <c r="A57" s="1" t="s">
        <v>37</v>
      </c>
      <c r="B57" s="1">
        <v>0.0</v>
      </c>
      <c r="E57" s="1">
        <v>69.280071</v>
      </c>
      <c r="F57" s="1">
        <v>55.0</v>
      </c>
    </row>
    <row r="58">
      <c r="A58" s="1" t="s">
        <v>816</v>
      </c>
      <c r="B58" s="1">
        <v>3.0</v>
      </c>
      <c r="E58" s="1">
        <v>69.334019</v>
      </c>
      <c r="F58" s="1">
        <v>56.0</v>
      </c>
    </row>
    <row r="59">
      <c r="A59" s="1" t="s">
        <v>37</v>
      </c>
      <c r="B59" s="1">
        <v>0.0</v>
      </c>
      <c r="E59" s="1">
        <v>70.309923</v>
      </c>
      <c r="F59" s="1">
        <v>57.0</v>
      </c>
    </row>
    <row r="60">
      <c r="A60" s="1" t="s">
        <v>37</v>
      </c>
      <c r="B60" s="1">
        <v>0.0</v>
      </c>
      <c r="E60" s="1">
        <v>73.166693</v>
      </c>
      <c r="F60" s="1">
        <v>58.0</v>
      </c>
    </row>
    <row r="61">
      <c r="A61" s="1" t="s">
        <v>817</v>
      </c>
      <c r="B61" s="1">
        <v>1.0</v>
      </c>
      <c r="E61" s="1">
        <v>74.282103</v>
      </c>
      <c r="F61" s="1">
        <v>59.0</v>
      </c>
    </row>
    <row r="62">
      <c r="A62" s="1" t="s">
        <v>37</v>
      </c>
      <c r="B62" s="1">
        <v>0.0</v>
      </c>
      <c r="E62" s="1">
        <v>74.662263</v>
      </c>
      <c r="F62" s="1">
        <v>60.0</v>
      </c>
    </row>
    <row r="63">
      <c r="A63" s="1" t="s">
        <v>37</v>
      </c>
      <c r="B63" s="1">
        <v>0.0</v>
      </c>
      <c r="E63" s="1">
        <v>74.766604</v>
      </c>
      <c r="F63" s="1">
        <v>61.0</v>
      </c>
    </row>
    <row r="64">
      <c r="A64" s="1" t="s">
        <v>818</v>
      </c>
      <c r="B64" s="1">
        <v>1.0</v>
      </c>
      <c r="E64" s="1">
        <v>75.903697</v>
      </c>
      <c r="F64" s="1">
        <v>62.0</v>
      </c>
    </row>
    <row r="65">
      <c r="A65" s="1" t="s">
        <v>37</v>
      </c>
      <c r="B65" s="1">
        <v>0.0</v>
      </c>
      <c r="E65" s="1">
        <v>76.68919</v>
      </c>
      <c r="F65" s="1">
        <v>63.0</v>
      </c>
    </row>
    <row r="66">
      <c r="A66" s="1" t="s">
        <v>37</v>
      </c>
      <c r="B66" s="1">
        <v>0.0</v>
      </c>
      <c r="E66" s="1">
        <v>77.293747</v>
      </c>
      <c r="F66" s="1">
        <v>64.0</v>
      </c>
    </row>
    <row r="67">
      <c r="A67" s="1" t="s">
        <v>37</v>
      </c>
      <c r="B67" s="1">
        <v>0.0</v>
      </c>
      <c r="E67" s="1">
        <v>78.913967</v>
      </c>
      <c r="F67" s="1">
        <v>65.0</v>
      </c>
    </row>
    <row r="68">
      <c r="A68" s="1" t="s">
        <v>819</v>
      </c>
      <c r="B68" s="1">
        <v>1.0</v>
      </c>
      <c r="E68" s="1">
        <v>82.028659</v>
      </c>
      <c r="F68" s="1">
        <v>66.0</v>
      </c>
    </row>
    <row r="69">
      <c r="A69" s="1" t="s">
        <v>37</v>
      </c>
      <c r="B69" s="1">
        <v>0.0</v>
      </c>
      <c r="E69" s="1">
        <v>82.337716</v>
      </c>
      <c r="F69" s="1">
        <v>67.0</v>
      </c>
    </row>
    <row r="70">
      <c r="A70" s="1" t="s">
        <v>820</v>
      </c>
      <c r="B70" s="1">
        <v>2.0</v>
      </c>
      <c r="E70" s="1">
        <v>83.989544</v>
      </c>
      <c r="F70" s="1">
        <v>68.0</v>
      </c>
    </row>
    <row r="71">
      <c r="A71" s="1" t="s">
        <v>821</v>
      </c>
      <c r="B71" s="1">
        <v>1.0</v>
      </c>
      <c r="E71" s="1">
        <v>84.255228</v>
      </c>
      <c r="F71" s="1">
        <v>69.0</v>
      </c>
    </row>
    <row r="72">
      <c r="A72" s="1" t="s">
        <v>37</v>
      </c>
      <c r="B72" s="1">
        <v>0.0</v>
      </c>
      <c r="E72" s="1">
        <v>85.427876</v>
      </c>
      <c r="F72" s="1">
        <v>70.0</v>
      </c>
    </row>
    <row r="73">
      <c r="A73" s="1" t="s">
        <v>37</v>
      </c>
      <c r="B73" s="1">
        <v>0.0</v>
      </c>
      <c r="E73" s="1">
        <v>87.118733</v>
      </c>
      <c r="F73" s="1">
        <v>71.0</v>
      </c>
    </row>
    <row r="74">
      <c r="A74" s="1" t="s">
        <v>822</v>
      </c>
      <c r="B74" s="1">
        <v>1.0</v>
      </c>
      <c r="E74" s="1">
        <v>88.26837</v>
      </c>
      <c r="F74" s="1">
        <v>72.0</v>
      </c>
    </row>
    <row r="75">
      <c r="A75" s="1" t="s">
        <v>823</v>
      </c>
      <c r="B75" s="1">
        <v>3.0</v>
      </c>
      <c r="E75" s="1">
        <v>88.616115</v>
      </c>
      <c r="F75" s="1">
        <v>73.0</v>
      </c>
    </row>
    <row r="76">
      <c r="A76" s="1" t="s">
        <v>824</v>
      </c>
      <c r="B76" s="1">
        <v>1.0</v>
      </c>
      <c r="E76" s="1">
        <v>89.402786</v>
      </c>
      <c r="F76" s="1">
        <v>74.0</v>
      </c>
    </row>
    <row r="77">
      <c r="A77" s="1" t="s">
        <v>825</v>
      </c>
      <c r="B77" s="1">
        <v>1.0</v>
      </c>
      <c r="E77" s="1">
        <v>89.967866</v>
      </c>
      <c r="F77" s="1">
        <v>75.0</v>
      </c>
    </row>
    <row r="78">
      <c r="A78" s="1" t="s">
        <v>826</v>
      </c>
      <c r="B78" s="1">
        <v>1.0</v>
      </c>
      <c r="E78" s="1">
        <v>95.725525</v>
      </c>
      <c r="F78" s="1">
        <v>76.0</v>
      </c>
    </row>
    <row r="79">
      <c r="A79" s="1" t="s">
        <v>827</v>
      </c>
      <c r="B79" s="1">
        <v>1.0</v>
      </c>
      <c r="E79" s="1">
        <v>98.052402</v>
      </c>
      <c r="F79" s="1">
        <v>77.0</v>
      </c>
    </row>
    <row r="80">
      <c r="A80" s="1" t="s">
        <v>37</v>
      </c>
      <c r="B80" s="1">
        <v>0.0</v>
      </c>
      <c r="E80" s="1">
        <v>98.066735</v>
      </c>
      <c r="F80" s="1">
        <v>78.0</v>
      </c>
    </row>
    <row r="81">
      <c r="A81" s="1" t="s">
        <v>37</v>
      </c>
      <c r="B81" s="1">
        <v>0.0</v>
      </c>
      <c r="E81" s="1">
        <v>100.017363</v>
      </c>
      <c r="F81" s="1">
        <v>79.0</v>
      </c>
    </row>
    <row r="82">
      <c r="A82" s="1" t="s">
        <v>37</v>
      </c>
      <c r="B82" s="1">
        <v>0.0</v>
      </c>
      <c r="E82" s="1">
        <v>100.28517</v>
      </c>
      <c r="F82" s="1">
        <v>80.0</v>
      </c>
    </row>
    <row r="83">
      <c r="A83" s="1" t="s">
        <v>828</v>
      </c>
      <c r="B83" s="1">
        <v>2.0</v>
      </c>
      <c r="E83" s="1">
        <v>105.461529</v>
      </c>
      <c r="F83" s="1">
        <v>81.0</v>
      </c>
    </row>
    <row r="84">
      <c r="A84" s="1" t="s">
        <v>829</v>
      </c>
      <c r="B84" s="1">
        <v>1.0</v>
      </c>
      <c r="E84" s="1">
        <v>105.465458</v>
      </c>
      <c r="F84" s="1">
        <v>82.0</v>
      </c>
    </row>
    <row r="85">
      <c r="A85" s="1" t="s">
        <v>830</v>
      </c>
      <c r="B85" s="1">
        <v>1.0</v>
      </c>
      <c r="E85" s="1">
        <v>106.278155</v>
      </c>
      <c r="F85" s="1">
        <v>83.0</v>
      </c>
    </row>
    <row r="86">
      <c r="A86" s="1" t="s">
        <v>831</v>
      </c>
      <c r="B86" s="1">
        <v>1.0</v>
      </c>
      <c r="E86" s="1">
        <v>108.979835</v>
      </c>
      <c r="F86" s="1">
        <v>84.0</v>
      </c>
    </row>
    <row r="87">
      <c r="A87" s="1" t="s">
        <v>37</v>
      </c>
      <c r="B87" s="1">
        <v>0.0</v>
      </c>
      <c r="E87" s="1">
        <v>111.115627</v>
      </c>
      <c r="F87" s="1">
        <v>85.0</v>
      </c>
    </row>
    <row r="88">
      <c r="A88" s="1" t="s">
        <v>832</v>
      </c>
      <c r="B88" s="1">
        <v>1.0</v>
      </c>
      <c r="E88" s="1">
        <v>112.378847</v>
      </c>
      <c r="F88" s="1">
        <v>86.0</v>
      </c>
    </row>
    <row r="89">
      <c r="A89" s="1" t="s">
        <v>833</v>
      </c>
      <c r="B89" s="1">
        <v>2.0</v>
      </c>
      <c r="E89" s="1">
        <v>113.46885</v>
      </c>
      <c r="F89" s="1">
        <v>87.0</v>
      </c>
    </row>
    <row r="90">
      <c r="A90" s="1" t="s">
        <v>834</v>
      </c>
      <c r="B90" s="1">
        <v>2.0</v>
      </c>
      <c r="E90" s="1">
        <v>114.272351</v>
      </c>
      <c r="F90" s="1">
        <v>88.0</v>
      </c>
    </row>
    <row r="91">
      <c r="A91" s="1" t="s">
        <v>37</v>
      </c>
      <c r="B91" s="1">
        <v>0.0</v>
      </c>
      <c r="E91" s="1">
        <v>114.381013</v>
      </c>
      <c r="F91" s="1">
        <v>89.0</v>
      </c>
    </row>
    <row r="92">
      <c r="A92" s="1" t="s">
        <v>37</v>
      </c>
      <c r="B92" s="1">
        <v>0.0</v>
      </c>
      <c r="E92" s="1">
        <v>114.572484</v>
      </c>
      <c r="F92" s="1">
        <v>90.0</v>
      </c>
    </row>
    <row r="93">
      <c r="A93" s="1" t="s">
        <v>37</v>
      </c>
      <c r="B93" s="1">
        <v>0.0</v>
      </c>
      <c r="E93" s="1">
        <v>114.633148</v>
      </c>
      <c r="F93" s="1">
        <v>91.0</v>
      </c>
    </row>
    <row r="94">
      <c r="A94" s="1" t="s">
        <v>37</v>
      </c>
      <c r="B94" s="1">
        <v>0.0</v>
      </c>
      <c r="E94" s="1">
        <v>115.660835</v>
      </c>
      <c r="F94" s="1">
        <v>92.0</v>
      </c>
    </row>
    <row r="95">
      <c r="A95" s="1" t="s">
        <v>37</v>
      </c>
      <c r="B95" s="1">
        <v>0.0</v>
      </c>
      <c r="E95" s="1">
        <v>116.634679</v>
      </c>
      <c r="F95" s="1">
        <v>93.0</v>
      </c>
    </row>
    <row r="96">
      <c r="A96" s="1" t="s">
        <v>835</v>
      </c>
      <c r="B96" s="1">
        <v>1.0</v>
      </c>
      <c r="E96" s="1">
        <v>117.460696</v>
      </c>
      <c r="F96" s="1">
        <v>94.0</v>
      </c>
    </row>
    <row r="97">
      <c r="A97" s="1" t="s">
        <v>37</v>
      </c>
      <c r="B97" s="1">
        <v>0.0</v>
      </c>
      <c r="E97" s="1">
        <v>118.329494</v>
      </c>
      <c r="F97" s="1">
        <v>95.0</v>
      </c>
    </row>
    <row r="98">
      <c r="A98" s="1" t="s">
        <v>37</v>
      </c>
      <c r="B98" s="1">
        <v>0.0</v>
      </c>
      <c r="E98" s="1">
        <v>118.330183</v>
      </c>
      <c r="F98" s="1">
        <v>96.0</v>
      </c>
    </row>
    <row r="99">
      <c r="A99" s="1" t="s">
        <v>836</v>
      </c>
      <c r="B99" s="1">
        <v>2.0</v>
      </c>
      <c r="E99" s="1">
        <v>119.872681</v>
      </c>
      <c r="F99" s="1">
        <v>97.0</v>
      </c>
    </row>
    <row r="100">
      <c r="A100" s="1" t="s">
        <v>37</v>
      </c>
      <c r="B100" s="1">
        <v>0.0</v>
      </c>
      <c r="E100" s="1">
        <v>120.644513</v>
      </c>
      <c r="F100" s="1">
        <v>98.0</v>
      </c>
    </row>
    <row r="101">
      <c r="A101" s="1" t="s">
        <v>837</v>
      </c>
      <c r="B101" s="1">
        <v>2.0</v>
      </c>
      <c r="E101" s="1">
        <v>121.14151</v>
      </c>
      <c r="F101" s="1">
        <v>99.0</v>
      </c>
    </row>
    <row r="102">
      <c r="A102" s="1" t="s">
        <v>37</v>
      </c>
      <c r="B102" s="1">
        <v>0.0</v>
      </c>
      <c r="E102" s="1">
        <v>122.138989</v>
      </c>
      <c r="F102" s="1">
        <v>100.0</v>
      </c>
    </row>
    <row r="103">
      <c r="A103" s="1" t="s">
        <v>37</v>
      </c>
      <c r="B103" s="1">
        <v>0.0</v>
      </c>
      <c r="E103" s="1">
        <v>123.605479</v>
      </c>
      <c r="F103" s="1">
        <v>101.0</v>
      </c>
    </row>
    <row r="104">
      <c r="A104" s="1" t="s">
        <v>37</v>
      </c>
      <c r="B104" s="1">
        <v>0.0</v>
      </c>
      <c r="E104" s="1">
        <v>124.590356</v>
      </c>
      <c r="F104" s="1">
        <v>102.0</v>
      </c>
    </row>
    <row r="105">
      <c r="A105" s="1" t="s">
        <v>37</v>
      </c>
      <c r="B105" s="1">
        <v>0.0</v>
      </c>
      <c r="E105" s="1">
        <v>124.766358</v>
      </c>
      <c r="F105" s="1">
        <v>103.0</v>
      </c>
    </row>
    <row r="106">
      <c r="A106" s="1" t="s">
        <v>838</v>
      </c>
      <c r="B106" s="1">
        <v>2.0</v>
      </c>
      <c r="E106" s="1">
        <v>124.933256</v>
      </c>
      <c r="F106" s="1">
        <v>104.0</v>
      </c>
    </row>
    <row r="107">
      <c r="A107" s="1" t="s">
        <v>839</v>
      </c>
      <c r="B107" s="1">
        <v>1.0</v>
      </c>
      <c r="E107" s="1">
        <v>125.728588</v>
      </c>
      <c r="F107" s="1">
        <v>105.0</v>
      </c>
    </row>
    <row r="108">
      <c r="A108" s="1" t="s">
        <v>37</v>
      </c>
      <c r="B108" s="1">
        <v>0.0</v>
      </c>
      <c r="E108" s="1">
        <v>126.359297</v>
      </c>
      <c r="F108" s="1">
        <v>106.0</v>
      </c>
    </row>
    <row r="109">
      <c r="A109" s="1" t="s">
        <v>840</v>
      </c>
      <c r="B109" s="1">
        <v>1.0</v>
      </c>
      <c r="E109" s="1">
        <v>126.58766</v>
      </c>
      <c r="F109" s="1">
        <v>107.0</v>
      </c>
    </row>
    <row r="110">
      <c r="A110" s="1" t="s">
        <v>37</v>
      </c>
      <c r="B110" s="1">
        <v>0.0</v>
      </c>
      <c r="E110" s="1">
        <v>128.327848</v>
      </c>
      <c r="F110" s="1">
        <v>108.0</v>
      </c>
    </row>
    <row r="111">
      <c r="A111" s="1" t="s">
        <v>37</v>
      </c>
      <c r="B111" s="1">
        <v>0.0</v>
      </c>
      <c r="E111" s="1">
        <v>128.462924</v>
      </c>
      <c r="F111" s="1">
        <v>109.0</v>
      </c>
    </row>
    <row r="112">
      <c r="A112" s="1" t="s">
        <v>841</v>
      </c>
      <c r="B112" s="1">
        <v>1.0</v>
      </c>
      <c r="E112" s="1">
        <v>129.342373</v>
      </c>
      <c r="F112" s="1">
        <v>110.0</v>
      </c>
    </row>
    <row r="113">
      <c r="A113" s="1" t="s">
        <v>842</v>
      </c>
      <c r="B113" s="1">
        <v>1.0</v>
      </c>
      <c r="E113" s="1">
        <v>134.101573</v>
      </c>
      <c r="F113" s="1">
        <v>111.0</v>
      </c>
    </row>
    <row r="114">
      <c r="A114" s="1" t="s">
        <v>843</v>
      </c>
      <c r="B114" s="1">
        <v>1.0</v>
      </c>
      <c r="E114" s="1">
        <v>134.189359</v>
      </c>
      <c r="F114" s="1">
        <v>112.0</v>
      </c>
    </row>
    <row r="115">
      <c r="A115" s="1" t="s">
        <v>844</v>
      </c>
      <c r="B115" s="1">
        <v>4.0</v>
      </c>
      <c r="E115" s="1">
        <v>134.520569</v>
      </c>
      <c r="F115" s="1">
        <v>113.0</v>
      </c>
    </row>
    <row r="116">
      <c r="A116" s="1" t="s">
        <v>845</v>
      </c>
      <c r="B116" s="1">
        <v>1.0</v>
      </c>
      <c r="E116" s="1">
        <v>136.603269</v>
      </c>
      <c r="F116" s="1">
        <v>114.0</v>
      </c>
    </row>
    <row r="117">
      <c r="A117" s="1" t="s">
        <v>846</v>
      </c>
      <c r="B117" s="1">
        <v>1.0</v>
      </c>
      <c r="E117" s="1">
        <v>137.87826</v>
      </c>
      <c r="F117" s="1">
        <v>115.0</v>
      </c>
    </row>
    <row r="118">
      <c r="A118" s="1" t="s">
        <v>847</v>
      </c>
      <c r="B118" s="1">
        <v>1.0</v>
      </c>
      <c r="E118" s="1">
        <v>138.72204</v>
      </c>
      <c r="F118" s="1">
        <v>116.0</v>
      </c>
    </row>
    <row r="119">
      <c r="A119" s="1" t="s">
        <v>848</v>
      </c>
      <c r="B119" s="1">
        <v>2.0</v>
      </c>
      <c r="E119" s="1">
        <v>141.646996</v>
      </c>
      <c r="F119" s="1">
        <v>117.0</v>
      </c>
    </row>
    <row r="120">
      <c r="A120" s="1" t="s">
        <v>849</v>
      </c>
      <c r="B120" s="1">
        <v>1.0</v>
      </c>
      <c r="E120" s="1">
        <v>142.051223</v>
      </c>
      <c r="F120" s="1">
        <v>118.0</v>
      </c>
    </row>
    <row r="121">
      <c r="A121" s="1" t="s">
        <v>850</v>
      </c>
      <c r="B121" s="1">
        <v>1.0</v>
      </c>
      <c r="E121" s="1">
        <v>142.307301</v>
      </c>
      <c r="F121" s="1">
        <v>119.0</v>
      </c>
    </row>
    <row r="122">
      <c r="A122" s="1" t="s">
        <v>851</v>
      </c>
      <c r="B122" s="1">
        <v>1.0</v>
      </c>
      <c r="E122" s="1">
        <v>142.824948</v>
      </c>
      <c r="F122" s="1">
        <v>120.0</v>
      </c>
    </row>
    <row r="123">
      <c r="A123" s="1" t="s">
        <v>852</v>
      </c>
      <c r="B123" s="1">
        <v>0.0</v>
      </c>
      <c r="E123" s="1">
        <v>143.024928</v>
      </c>
      <c r="F123" s="1">
        <v>121.0</v>
      </c>
    </row>
    <row r="124">
      <c r="A124" s="1" t="s">
        <v>853</v>
      </c>
      <c r="B124" s="1">
        <v>1.0</v>
      </c>
      <c r="E124" s="1">
        <v>143.675396</v>
      </c>
      <c r="F124" s="1">
        <v>122.0</v>
      </c>
    </row>
    <row r="125">
      <c r="A125" s="1" t="s">
        <v>854</v>
      </c>
      <c r="B125" s="1">
        <v>3.0</v>
      </c>
      <c r="E125" s="1">
        <v>143.763449</v>
      </c>
      <c r="F125" s="1">
        <v>123.0</v>
      </c>
    </row>
    <row r="126">
      <c r="A126" s="1" t="s">
        <v>855</v>
      </c>
      <c r="B126" s="1">
        <v>1.0</v>
      </c>
      <c r="E126" s="1">
        <v>144.158191</v>
      </c>
      <c r="F126" s="1">
        <v>124.0</v>
      </c>
    </row>
    <row r="127">
      <c r="A127" s="1" t="s">
        <v>856</v>
      </c>
      <c r="B127" s="1">
        <v>2.0</v>
      </c>
      <c r="E127" s="1">
        <v>144.348972</v>
      </c>
      <c r="F127" s="1">
        <v>125.0</v>
      </c>
    </row>
    <row r="128">
      <c r="A128" s="1" t="s">
        <v>37</v>
      </c>
      <c r="B128" s="1">
        <v>0.0</v>
      </c>
      <c r="E128" s="1">
        <v>144.349983</v>
      </c>
      <c r="F128" s="1">
        <v>126.0</v>
      </c>
    </row>
    <row r="129">
      <c r="A129" s="1" t="s">
        <v>857</v>
      </c>
      <c r="B129" s="1">
        <v>2.0</v>
      </c>
      <c r="E129" s="1">
        <v>145.106306</v>
      </c>
      <c r="F129" s="1">
        <v>127.0</v>
      </c>
    </row>
    <row r="130">
      <c r="A130" s="1" t="s">
        <v>858</v>
      </c>
      <c r="B130" s="1">
        <v>1.0</v>
      </c>
      <c r="E130" s="1">
        <v>146.114753</v>
      </c>
      <c r="F130" s="1">
        <v>128.0</v>
      </c>
    </row>
    <row r="131">
      <c r="A131" s="1" t="s">
        <v>37</v>
      </c>
      <c r="B131" s="1">
        <v>0.0</v>
      </c>
      <c r="E131" s="1">
        <v>146.414197</v>
      </c>
      <c r="F131" s="1">
        <v>129.0</v>
      </c>
    </row>
    <row r="132">
      <c r="A132" s="1" t="s">
        <v>37</v>
      </c>
      <c r="B132" s="1">
        <v>0.0</v>
      </c>
      <c r="E132" s="1">
        <v>148.47405</v>
      </c>
      <c r="F132" s="1">
        <v>130.0</v>
      </c>
    </row>
    <row r="133">
      <c r="A133" s="1" t="s">
        <v>37</v>
      </c>
      <c r="B133" s="1">
        <v>0.0</v>
      </c>
      <c r="E133" s="1">
        <v>150.577238</v>
      </c>
      <c r="F133" s="1">
        <v>131.0</v>
      </c>
    </row>
    <row r="134">
      <c r="A134" s="1" t="s">
        <v>37</v>
      </c>
      <c r="B134" s="1">
        <v>0.0</v>
      </c>
      <c r="E134" s="1">
        <v>152.508972</v>
      </c>
      <c r="F134" s="1">
        <v>132.0</v>
      </c>
    </row>
    <row r="135">
      <c r="A135" s="1" t="s">
        <v>859</v>
      </c>
      <c r="B135" s="1">
        <v>3.0</v>
      </c>
      <c r="E135" s="1">
        <v>153.524004</v>
      </c>
      <c r="F135" s="1">
        <v>133.0</v>
      </c>
    </row>
    <row r="136">
      <c r="A136" s="1" t="s">
        <v>37</v>
      </c>
      <c r="B136" s="1">
        <v>0.0</v>
      </c>
      <c r="E136" s="1">
        <v>153.644853</v>
      </c>
      <c r="F136" s="1">
        <v>134.0</v>
      </c>
    </row>
    <row r="137">
      <c r="A137" s="1" t="s">
        <v>860</v>
      </c>
      <c r="B137" s="1">
        <v>1.0</v>
      </c>
      <c r="E137" s="1">
        <v>153.881656</v>
      </c>
      <c r="F137" s="1">
        <v>135.0</v>
      </c>
    </row>
    <row r="138">
      <c r="A138" s="1" t="s">
        <v>861</v>
      </c>
      <c r="B138" s="1">
        <v>1.0</v>
      </c>
      <c r="E138" s="1">
        <v>154.510577</v>
      </c>
      <c r="F138" s="1">
        <v>136.0</v>
      </c>
    </row>
    <row r="139">
      <c r="A139" s="1" t="s">
        <v>862</v>
      </c>
      <c r="B139" s="1">
        <v>1.0</v>
      </c>
      <c r="E139" s="1">
        <v>154.974454</v>
      </c>
      <c r="F139" s="1">
        <v>137.0</v>
      </c>
    </row>
    <row r="140">
      <c r="A140" s="1" t="s">
        <v>37</v>
      </c>
      <c r="B140" s="1">
        <v>0.0</v>
      </c>
      <c r="E140" s="1">
        <v>155.940885</v>
      </c>
      <c r="F140" s="1">
        <v>138.0</v>
      </c>
    </row>
    <row r="141">
      <c r="A141" s="1" t="s">
        <v>37</v>
      </c>
      <c r="B141" s="1">
        <v>0.0</v>
      </c>
      <c r="E141" s="1">
        <v>156.003807</v>
      </c>
      <c r="F141" s="1">
        <v>139.0</v>
      </c>
    </row>
    <row r="142">
      <c r="A142" s="1" t="s">
        <v>863</v>
      </c>
      <c r="B142" s="1">
        <v>1.0</v>
      </c>
      <c r="E142" s="1">
        <v>158.242931</v>
      </c>
      <c r="F142" s="1">
        <v>140.0</v>
      </c>
    </row>
    <row r="143">
      <c r="A143" s="1" t="s">
        <v>864</v>
      </c>
      <c r="B143" s="1">
        <v>3.0</v>
      </c>
      <c r="E143" s="1">
        <v>158.739769</v>
      </c>
      <c r="F143" s="1">
        <v>141.0</v>
      </c>
    </row>
    <row r="144">
      <c r="A144" s="1" t="s">
        <v>865</v>
      </c>
      <c r="B144" s="1">
        <v>3.0</v>
      </c>
      <c r="E144" s="1">
        <v>159.668565</v>
      </c>
      <c r="F144" s="1">
        <v>142.0</v>
      </c>
    </row>
    <row r="145">
      <c r="A145" s="1" t="s">
        <v>866</v>
      </c>
      <c r="B145" s="1">
        <v>3.0</v>
      </c>
      <c r="E145" s="1">
        <v>159.730663</v>
      </c>
      <c r="F145" s="1">
        <v>143.0</v>
      </c>
    </row>
    <row r="146">
      <c r="A146" s="1" t="s">
        <v>867</v>
      </c>
      <c r="B146" s="1">
        <v>1.0</v>
      </c>
      <c r="E146" s="1">
        <v>160.949886</v>
      </c>
      <c r="F146" s="1">
        <v>144.0</v>
      </c>
    </row>
    <row r="147">
      <c r="A147" s="1" t="s">
        <v>868</v>
      </c>
      <c r="B147" s="1">
        <v>2.0</v>
      </c>
      <c r="E147" s="1">
        <v>163.905297</v>
      </c>
      <c r="F147" s="1">
        <v>145.0</v>
      </c>
    </row>
    <row r="148">
      <c r="A148" s="1" t="s">
        <v>37</v>
      </c>
      <c r="B148" s="1">
        <v>0.0</v>
      </c>
      <c r="E148" s="1">
        <v>164.11594</v>
      </c>
      <c r="F148" s="1">
        <v>146.0</v>
      </c>
    </row>
    <row r="149">
      <c r="A149" s="1" t="s">
        <v>869</v>
      </c>
      <c r="B149" s="1">
        <v>1.0</v>
      </c>
      <c r="E149" s="1">
        <v>165.768498</v>
      </c>
      <c r="F149" s="1">
        <v>147.0</v>
      </c>
    </row>
    <row r="150">
      <c r="A150" s="1" t="s">
        <v>37</v>
      </c>
      <c r="B150" s="1">
        <v>0.0</v>
      </c>
      <c r="E150" s="1">
        <v>166.944776</v>
      </c>
      <c r="F150" s="1">
        <v>148.0</v>
      </c>
    </row>
    <row r="151">
      <c r="A151" s="1" t="s">
        <v>870</v>
      </c>
      <c r="B151" s="1">
        <v>1.0</v>
      </c>
      <c r="E151" s="1">
        <v>171.214146</v>
      </c>
      <c r="F151" s="1">
        <v>149.0</v>
      </c>
    </row>
    <row r="152">
      <c r="A152" s="1" t="s">
        <v>37</v>
      </c>
      <c r="B152" s="1">
        <v>0.0</v>
      </c>
      <c r="E152" s="1">
        <v>175.875876</v>
      </c>
      <c r="F152" s="1">
        <v>150.0</v>
      </c>
    </row>
    <row r="153">
      <c r="A153" s="1" t="s">
        <v>871</v>
      </c>
      <c r="B153" s="1">
        <v>1.0</v>
      </c>
      <c r="E153" s="1">
        <v>176.582636</v>
      </c>
      <c r="F153" s="1">
        <v>151.0</v>
      </c>
    </row>
    <row r="154">
      <c r="A154" s="1" t="s">
        <v>872</v>
      </c>
      <c r="B154" s="1">
        <v>3.0</v>
      </c>
      <c r="E154" s="1">
        <v>176.716357</v>
      </c>
      <c r="F154" s="1">
        <v>152.0</v>
      </c>
    </row>
    <row r="155">
      <c r="A155" s="1" t="s">
        <v>873</v>
      </c>
      <c r="B155" s="1">
        <v>2.0</v>
      </c>
      <c r="E155" s="1">
        <v>177.914365</v>
      </c>
      <c r="F155" s="1">
        <v>153.0</v>
      </c>
    </row>
    <row r="156">
      <c r="A156" s="1" t="s">
        <v>874</v>
      </c>
      <c r="B156" s="1">
        <v>1.0</v>
      </c>
      <c r="E156" s="1">
        <v>179.980008</v>
      </c>
      <c r="F156" s="1">
        <v>154.0</v>
      </c>
    </row>
    <row r="157">
      <c r="A157" s="1" t="s">
        <v>875</v>
      </c>
      <c r="B157" s="1">
        <v>1.0</v>
      </c>
      <c r="E157" s="1">
        <v>180.210985</v>
      </c>
      <c r="F157" s="1">
        <v>155.0</v>
      </c>
    </row>
    <row r="158">
      <c r="A158" s="1" t="s">
        <v>37</v>
      </c>
      <c r="B158" s="1">
        <v>0.0</v>
      </c>
      <c r="E158" s="1">
        <v>182.903088</v>
      </c>
      <c r="F158" s="1">
        <v>156.0</v>
      </c>
    </row>
    <row r="159">
      <c r="A159" s="1" t="s">
        <v>876</v>
      </c>
      <c r="B159" s="1">
        <v>2.0</v>
      </c>
      <c r="E159" s="1">
        <v>184.848605</v>
      </c>
      <c r="F159" s="1">
        <v>157.0</v>
      </c>
    </row>
    <row r="160">
      <c r="A160" s="1" t="s">
        <v>877</v>
      </c>
      <c r="B160" s="1">
        <v>2.0</v>
      </c>
      <c r="E160" s="1">
        <v>186.83783</v>
      </c>
      <c r="F160" s="1">
        <v>158.0</v>
      </c>
    </row>
    <row r="161">
      <c r="A161" s="1" t="s">
        <v>878</v>
      </c>
      <c r="B161" s="1">
        <v>1.0</v>
      </c>
      <c r="E161" s="1">
        <v>188.864392</v>
      </c>
      <c r="F161" s="1">
        <v>159.0</v>
      </c>
    </row>
    <row r="162">
      <c r="A162" s="1" t="s">
        <v>37</v>
      </c>
      <c r="B162" s="1">
        <v>0.0</v>
      </c>
      <c r="E162" s="1">
        <v>189.865212</v>
      </c>
      <c r="F162" s="1">
        <v>160.0</v>
      </c>
    </row>
    <row r="163">
      <c r="A163" s="1" t="s">
        <v>37</v>
      </c>
      <c r="B163" s="1">
        <v>0.0</v>
      </c>
      <c r="E163" s="1">
        <v>194.430962</v>
      </c>
      <c r="F163" s="1">
        <v>161.0</v>
      </c>
    </row>
    <row r="164">
      <c r="A164" s="1" t="s">
        <v>879</v>
      </c>
      <c r="B164" s="1">
        <v>1.0</v>
      </c>
      <c r="E164" s="1">
        <v>194.981817</v>
      </c>
      <c r="F164" s="1">
        <v>162.0</v>
      </c>
    </row>
    <row r="165">
      <c r="A165" s="1" t="s">
        <v>880</v>
      </c>
      <c r="B165" s="1">
        <v>1.0</v>
      </c>
      <c r="E165" s="1">
        <v>196.094434</v>
      </c>
      <c r="F165" s="1">
        <v>163.0</v>
      </c>
    </row>
    <row r="166">
      <c r="A166" s="1" t="s">
        <v>881</v>
      </c>
      <c r="B166" s="1">
        <v>1.0</v>
      </c>
      <c r="E166" s="1">
        <v>196.519292</v>
      </c>
      <c r="F166" s="1">
        <v>164.0</v>
      </c>
    </row>
    <row r="167">
      <c r="A167" s="1" t="s">
        <v>882</v>
      </c>
      <c r="B167" s="1">
        <v>1.0</v>
      </c>
      <c r="E167" s="1">
        <v>196.704658</v>
      </c>
      <c r="F167" s="1">
        <v>165.0</v>
      </c>
    </row>
    <row r="168">
      <c r="A168" s="1" t="s">
        <v>37</v>
      </c>
      <c r="B168" s="1">
        <v>0.0</v>
      </c>
      <c r="E168" s="1">
        <v>196.73293</v>
      </c>
      <c r="F168" s="1">
        <v>166.0</v>
      </c>
    </row>
    <row r="169">
      <c r="A169" s="1" t="s">
        <v>37</v>
      </c>
      <c r="B169" s="1">
        <v>0.0</v>
      </c>
      <c r="E169" s="1">
        <v>196.796661</v>
      </c>
      <c r="F169" s="1">
        <v>167.0</v>
      </c>
    </row>
    <row r="170">
      <c r="A170" s="1" t="s">
        <v>37</v>
      </c>
      <c r="B170" s="1">
        <v>0.0</v>
      </c>
      <c r="E170" s="1">
        <v>196.922329</v>
      </c>
      <c r="F170" s="1">
        <v>168.0</v>
      </c>
    </row>
    <row r="171">
      <c r="A171" s="1" t="s">
        <v>37</v>
      </c>
      <c r="B171" s="1">
        <v>0.0</v>
      </c>
      <c r="E171" s="1">
        <v>198.822503</v>
      </c>
      <c r="F171" s="1">
        <v>169.0</v>
      </c>
    </row>
    <row r="172">
      <c r="A172" s="1" t="s">
        <v>883</v>
      </c>
      <c r="B172" s="1">
        <v>1.0</v>
      </c>
      <c r="E172" s="1">
        <v>199.29489</v>
      </c>
      <c r="F172" s="1">
        <v>170.0</v>
      </c>
    </row>
    <row r="173">
      <c r="A173" s="1" t="s">
        <v>37</v>
      </c>
      <c r="B173" s="1">
        <v>0.0</v>
      </c>
      <c r="E173" s="1">
        <v>200.309405</v>
      </c>
      <c r="F173" s="1">
        <v>171.0</v>
      </c>
    </row>
    <row r="174">
      <c r="A174" s="1" t="s">
        <v>37</v>
      </c>
      <c r="B174" s="1">
        <v>0.0</v>
      </c>
      <c r="E174" s="1">
        <v>200.639663</v>
      </c>
      <c r="F174" s="1">
        <v>172.0</v>
      </c>
    </row>
    <row r="175">
      <c r="A175" s="1" t="s">
        <v>37</v>
      </c>
      <c r="B175" s="1">
        <v>0.0</v>
      </c>
      <c r="E175" s="1">
        <v>202.258112</v>
      </c>
      <c r="F175" s="1">
        <v>173.0</v>
      </c>
    </row>
    <row r="176">
      <c r="A176" s="1" t="s">
        <v>884</v>
      </c>
      <c r="B176" s="1">
        <v>1.0</v>
      </c>
      <c r="E176" s="1">
        <v>202.599762</v>
      </c>
      <c r="F176" s="1">
        <v>174.0</v>
      </c>
    </row>
    <row r="177">
      <c r="A177" s="1" t="s">
        <v>885</v>
      </c>
      <c r="B177" s="1">
        <v>2.0</v>
      </c>
      <c r="E177" s="1">
        <v>206.562425</v>
      </c>
      <c r="F177" s="1">
        <v>175.0</v>
      </c>
    </row>
    <row r="178">
      <c r="A178" s="1" t="s">
        <v>886</v>
      </c>
      <c r="B178" s="1">
        <v>1.0</v>
      </c>
      <c r="E178" s="1">
        <v>208.273841</v>
      </c>
      <c r="F178" s="1">
        <v>176.0</v>
      </c>
    </row>
    <row r="179">
      <c r="A179" s="1" t="s">
        <v>37</v>
      </c>
      <c r="B179" s="1">
        <v>0.0</v>
      </c>
      <c r="E179" s="1">
        <v>208.962978</v>
      </c>
      <c r="F179" s="1">
        <v>177.0</v>
      </c>
    </row>
    <row r="180">
      <c r="A180" s="1" t="s">
        <v>887</v>
      </c>
      <c r="B180" s="1">
        <v>1.0</v>
      </c>
      <c r="E180" s="1">
        <v>209.602021</v>
      </c>
      <c r="F180" s="1">
        <v>178.0</v>
      </c>
    </row>
    <row r="181">
      <c r="A181" s="1" t="s">
        <v>888</v>
      </c>
      <c r="B181" s="1">
        <v>1.0</v>
      </c>
      <c r="E181" s="1">
        <v>210.37423</v>
      </c>
      <c r="F181" s="1">
        <v>179.0</v>
      </c>
    </row>
    <row r="182">
      <c r="A182" s="1" t="s">
        <v>37</v>
      </c>
      <c r="B182" s="1">
        <v>0.0</v>
      </c>
      <c r="E182" s="1">
        <v>211.112055</v>
      </c>
      <c r="F182" s="1">
        <v>180.0</v>
      </c>
    </row>
    <row r="183">
      <c r="A183" s="1" t="s">
        <v>889</v>
      </c>
      <c r="B183" s="1">
        <v>1.0</v>
      </c>
      <c r="E183" s="1">
        <v>216.070935</v>
      </c>
      <c r="F183" s="1">
        <v>181.0</v>
      </c>
    </row>
    <row r="184">
      <c r="A184" s="1" t="s">
        <v>890</v>
      </c>
      <c r="B184" s="1">
        <v>1.0</v>
      </c>
      <c r="E184" s="1">
        <v>217.762986</v>
      </c>
      <c r="F184" s="1">
        <v>182.0</v>
      </c>
    </row>
    <row r="185">
      <c r="A185" s="1" t="s">
        <v>891</v>
      </c>
      <c r="B185" s="1">
        <v>1.0</v>
      </c>
      <c r="E185" s="1">
        <v>218.123977</v>
      </c>
      <c r="F185" s="1">
        <v>183.0</v>
      </c>
    </row>
    <row r="186">
      <c r="A186" s="1" t="s">
        <v>37</v>
      </c>
      <c r="B186" s="1">
        <v>0.0</v>
      </c>
      <c r="E186" s="1">
        <v>218.685183</v>
      </c>
      <c r="F186" s="1">
        <v>184.0</v>
      </c>
    </row>
    <row r="187">
      <c r="A187" s="1" t="s">
        <v>892</v>
      </c>
      <c r="B187" s="1">
        <v>1.0</v>
      </c>
      <c r="E187" s="1">
        <v>219.211512</v>
      </c>
      <c r="F187" s="1">
        <v>185.0</v>
      </c>
    </row>
    <row r="188">
      <c r="A188" s="1" t="s">
        <v>37</v>
      </c>
      <c r="B188" s="1">
        <v>0.0</v>
      </c>
      <c r="E188" s="1">
        <v>219.34569</v>
      </c>
      <c r="F188" s="1">
        <v>186.0</v>
      </c>
    </row>
    <row r="189">
      <c r="A189" s="1" t="s">
        <v>893</v>
      </c>
      <c r="B189" s="1">
        <v>1.0</v>
      </c>
      <c r="E189" s="1">
        <v>220.66898</v>
      </c>
      <c r="F189" s="1">
        <v>187.0</v>
      </c>
    </row>
    <row r="190">
      <c r="A190" s="1" t="s">
        <v>894</v>
      </c>
      <c r="B190" s="1">
        <v>1.0</v>
      </c>
      <c r="E190" s="1">
        <v>222.505929</v>
      </c>
      <c r="F190" s="1">
        <v>188.0</v>
      </c>
    </row>
    <row r="191">
      <c r="A191" s="1" t="s">
        <v>37</v>
      </c>
      <c r="B191" s="1">
        <v>0.0</v>
      </c>
      <c r="E191" s="1">
        <v>223.567691</v>
      </c>
      <c r="F191" s="1">
        <v>189.0</v>
      </c>
    </row>
    <row r="192">
      <c r="A192" s="1" t="s">
        <v>37</v>
      </c>
      <c r="B192" s="1">
        <v>0.0</v>
      </c>
      <c r="E192" s="1">
        <v>224.533972</v>
      </c>
      <c r="F192" s="1">
        <v>190.0</v>
      </c>
    </row>
    <row r="193">
      <c r="A193" s="1" t="s">
        <v>37</v>
      </c>
      <c r="B193" s="1">
        <v>0.0</v>
      </c>
      <c r="E193" s="1">
        <v>224.856827</v>
      </c>
      <c r="F193" s="1">
        <v>191.0</v>
      </c>
    </row>
    <row r="194">
      <c r="A194" s="1" t="s">
        <v>37</v>
      </c>
      <c r="B194" s="1">
        <v>0.0</v>
      </c>
      <c r="E194" s="1">
        <v>224.972563</v>
      </c>
      <c r="F194" s="1">
        <v>192.0</v>
      </c>
    </row>
    <row r="195">
      <c r="A195" s="1" t="s">
        <v>895</v>
      </c>
      <c r="B195" s="1">
        <v>2.0</v>
      </c>
      <c r="E195" s="1">
        <v>225.398004</v>
      </c>
      <c r="F195" s="1">
        <v>193.0</v>
      </c>
    </row>
    <row r="196">
      <c r="A196" s="1" t="s">
        <v>37</v>
      </c>
      <c r="B196" s="1">
        <v>0.0</v>
      </c>
      <c r="E196" s="1">
        <v>226.58703</v>
      </c>
      <c r="F196" s="1">
        <v>194.0</v>
      </c>
    </row>
    <row r="197">
      <c r="A197" s="1" t="s">
        <v>896</v>
      </c>
      <c r="B197" s="1">
        <v>6.0</v>
      </c>
      <c r="E197" s="1">
        <v>227.969386</v>
      </c>
      <c r="F197" s="1">
        <v>195.0</v>
      </c>
    </row>
    <row r="198">
      <c r="A198" s="1" t="s">
        <v>37</v>
      </c>
      <c r="B198" s="1">
        <v>0.0</v>
      </c>
      <c r="E198" s="1">
        <v>228.969621</v>
      </c>
      <c r="F198" s="1">
        <v>196.0</v>
      </c>
    </row>
    <row r="199">
      <c r="A199" s="1" t="s">
        <v>897</v>
      </c>
      <c r="B199" s="1">
        <v>1.0</v>
      </c>
      <c r="E199" s="1">
        <v>230.511298</v>
      </c>
      <c r="F199" s="1">
        <v>197.0</v>
      </c>
    </row>
    <row r="200">
      <c r="A200" s="1" t="s">
        <v>898</v>
      </c>
      <c r="B200" s="1">
        <v>1.0</v>
      </c>
      <c r="E200" s="1">
        <v>231.281621</v>
      </c>
      <c r="F200" s="1">
        <v>198.0</v>
      </c>
    </row>
    <row r="201">
      <c r="A201" s="1" t="s">
        <v>899</v>
      </c>
      <c r="B201" s="1">
        <v>2.0</v>
      </c>
      <c r="E201" s="1">
        <v>237.447834</v>
      </c>
      <c r="F201" s="1">
        <v>199.0</v>
      </c>
    </row>
    <row r="202">
      <c r="A202" s="1" t="s">
        <v>37</v>
      </c>
      <c r="B202" s="1">
        <v>0.0</v>
      </c>
      <c r="E202" s="1">
        <v>237.861979</v>
      </c>
      <c r="F202" s="1">
        <v>200.0</v>
      </c>
    </row>
    <row r="203">
      <c r="A203" s="1" t="s">
        <v>900</v>
      </c>
      <c r="B203" s="1">
        <v>2.0</v>
      </c>
      <c r="E203" s="1">
        <v>240.278554</v>
      </c>
      <c r="F203" s="1">
        <v>201.0</v>
      </c>
    </row>
    <row r="204">
      <c r="A204" s="1" t="s">
        <v>37</v>
      </c>
      <c r="B204" s="1">
        <v>0.0</v>
      </c>
      <c r="E204" s="1">
        <v>242.723436</v>
      </c>
      <c r="F204" s="1">
        <v>202.0</v>
      </c>
    </row>
    <row r="205">
      <c r="A205" s="1" t="s">
        <v>37</v>
      </c>
      <c r="B205" s="1">
        <v>0.0</v>
      </c>
      <c r="E205" s="1">
        <v>243.466866</v>
      </c>
      <c r="F205" s="1">
        <v>203.0</v>
      </c>
    </row>
    <row r="206">
      <c r="A206" s="1" t="s">
        <v>37</v>
      </c>
      <c r="B206" s="1">
        <v>0.0</v>
      </c>
      <c r="E206" s="1">
        <v>243.75175</v>
      </c>
      <c r="F206" s="1">
        <v>204.0</v>
      </c>
    </row>
    <row r="207">
      <c r="A207" s="1" t="s">
        <v>901</v>
      </c>
      <c r="B207" s="1">
        <v>1.0</v>
      </c>
      <c r="E207" s="1">
        <v>243.826671</v>
      </c>
      <c r="F207" s="1">
        <v>205.0</v>
      </c>
    </row>
    <row r="208">
      <c r="A208" s="1" t="s">
        <v>37</v>
      </c>
      <c r="B208" s="1">
        <v>0.0</v>
      </c>
      <c r="E208" s="1">
        <v>244.279779</v>
      </c>
      <c r="F208" s="1">
        <v>206.0</v>
      </c>
    </row>
    <row r="209">
      <c r="A209" s="1" t="s">
        <v>902</v>
      </c>
      <c r="B209" s="1">
        <v>2.0</v>
      </c>
      <c r="E209" s="1">
        <v>245.898642</v>
      </c>
      <c r="F209" s="1">
        <v>207.0</v>
      </c>
    </row>
    <row r="210">
      <c r="A210" s="1" t="s">
        <v>903</v>
      </c>
      <c r="B210" s="1">
        <v>1.0</v>
      </c>
      <c r="E210" s="1">
        <v>245.922407</v>
      </c>
      <c r="F210" s="1">
        <v>208.0</v>
      </c>
    </row>
    <row r="211">
      <c r="A211" s="1" t="s">
        <v>904</v>
      </c>
      <c r="B211" s="1">
        <v>1.0</v>
      </c>
      <c r="E211" s="1">
        <v>246.053668</v>
      </c>
      <c r="F211" s="1">
        <v>209.0</v>
      </c>
    </row>
    <row r="212">
      <c r="A212" s="1" t="s">
        <v>905</v>
      </c>
      <c r="B212" s="1">
        <v>1.0</v>
      </c>
      <c r="E212" s="1">
        <v>246.196098</v>
      </c>
      <c r="F212" s="1">
        <v>210.0</v>
      </c>
    </row>
    <row r="213">
      <c r="A213" s="1" t="s">
        <v>37</v>
      </c>
      <c r="B213" s="1">
        <v>0.0</v>
      </c>
      <c r="E213" s="1">
        <v>251.928476</v>
      </c>
      <c r="F213" s="1">
        <v>211.0</v>
      </c>
    </row>
    <row r="214">
      <c r="A214" s="1" t="s">
        <v>37</v>
      </c>
      <c r="B214" s="1">
        <v>0.0</v>
      </c>
      <c r="E214" s="1">
        <v>253.562659</v>
      </c>
      <c r="F214" s="1">
        <v>212.0</v>
      </c>
    </row>
    <row r="215">
      <c r="A215" s="1" t="s">
        <v>37</v>
      </c>
      <c r="B215" s="1">
        <v>0.0</v>
      </c>
      <c r="E215" s="1">
        <v>253.570514</v>
      </c>
      <c r="F215" s="1">
        <v>213.0</v>
      </c>
    </row>
    <row r="216">
      <c r="A216" s="1" t="s">
        <v>37</v>
      </c>
      <c r="B216" s="1">
        <v>0.0</v>
      </c>
      <c r="E216" s="1">
        <v>254.450641</v>
      </c>
      <c r="F216" s="1">
        <v>214.0</v>
      </c>
    </row>
    <row r="217">
      <c r="A217" s="1" t="s">
        <v>906</v>
      </c>
      <c r="B217" s="1">
        <v>1.0</v>
      </c>
      <c r="E217" s="1">
        <v>254.598682</v>
      </c>
      <c r="F217" s="1">
        <v>215.0</v>
      </c>
    </row>
    <row r="218">
      <c r="A218" s="1" t="s">
        <v>907</v>
      </c>
      <c r="B218" s="1">
        <v>1.0</v>
      </c>
      <c r="E218" s="1">
        <v>255.238311</v>
      </c>
      <c r="F218" s="1">
        <v>216.0</v>
      </c>
    </row>
    <row r="219">
      <c r="A219" s="1" t="s">
        <v>908</v>
      </c>
      <c r="B219" s="1">
        <v>2.0</v>
      </c>
      <c r="E219" s="1">
        <v>256.289726</v>
      </c>
      <c r="F219" s="1">
        <v>217.0</v>
      </c>
    </row>
    <row r="220">
      <c r="A220" s="1" t="s">
        <v>909</v>
      </c>
      <c r="B220" s="1">
        <v>2.0</v>
      </c>
      <c r="E220" s="1">
        <v>258.423221</v>
      </c>
      <c r="F220" s="1">
        <v>218.0</v>
      </c>
    </row>
    <row r="221">
      <c r="A221" s="1" t="s">
        <v>910</v>
      </c>
      <c r="B221" s="1">
        <v>1.0</v>
      </c>
      <c r="E221" s="1">
        <v>260.984276</v>
      </c>
      <c r="F221" s="1">
        <v>219.0</v>
      </c>
    </row>
    <row r="222">
      <c r="A222" s="1" t="s">
        <v>37</v>
      </c>
      <c r="B222" s="1">
        <v>0.0</v>
      </c>
      <c r="E222" s="1">
        <v>261.222864</v>
      </c>
      <c r="F222" s="1">
        <v>220.0</v>
      </c>
    </row>
    <row r="223">
      <c r="A223" s="1" t="s">
        <v>911</v>
      </c>
      <c r="B223" s="1">
        <v>1.0</v>
      </c>
      <c r="E223" s="1">
        <v>261.898385</v>
      </c>
      <c r="F223" s="1">
        <v>221.0</v>
      </c>
    </row>
    <row r="224">
      <c r="A224" s="1" t="s">
        <v>912</v>
      </c>
      <c r="B224" s="1">
        <v>1.0</v>
      </c>
      <c r="E224" s="1">
        <v>264.386901</v>
      </c>
      <c r="F224" s="1">
        <v>222.0</v>
      </c>
    </row>
    <row r="225">
      <c r="A225" s="1" t="s">
        <v>913</v>
      </c>
      <c r="B225" s="1">
        <v>3.0</v>
      </c>
      <c r="E225" s="1">
        <v>265.066268</v>
      </c>
      <c r="F225" s="1">
        <v>223.0</v>
      </c>
    </row>
    <row r="226">
      <c r="A226" s="1" t="s">
        <v>914</v>
      </c>
      <c r="B226" s="1">
        <v>1.0</v>
      </c>
      <c r="E226" s="1">
        <v>267.571547</v>
      </c>
      <c r="F226" s="1">
        <v>224.0</v>
      </c>
    </row>
    <row r="227">
      <c r="A227" s="1" t="s">
        <v>915</v>
      </c>
      <c r="B227" s="1">
        <v>1.0</v>
      </c>
      <c r="E227" s="1">
        <v>272.655635</v>
      </c>
      <c r="F227" s="1">
        <v>225.0</v>
      </c>
    </row>
    <row r="228">
      <c r="A228" s="1" t="s">
        <v>916</v>
      </c>
      <c r="B228" s="1">
        <v>1.0</v>
      </c>
      <c r="E228" s="1">
        <v>273.715135</v>
      </c>
      <c r="F228" s="1">
        <v>226.0</v>
      </c>
    </row>
    <row r="229">
      <c r="A229" s="1" t="s">
        <v>917</v>
      </c>
      <c r="B229" s="1">
        <v>1.0</v>
      </c>
      <c r="E229" s="1">
        <v>274.116332</v>
      </c>
      <c r="F229" s="1">
        <v>227.0</v>
      </c>
    </row>
    <row r="230">
      <c r="A230" s="1" t="s">
        <v>37</v>
      </c>
      <c r="B230" s="1">
        <v>0.0</v>
      </c>
      <c r="E230" s="1">
        <v>275.336082</v>
      </c>
      <c r="F230" s="1">
        <v>228.0</v>
      </c>
    </row>
    <row r="231">
      <c r="A231" s="1" t="s">
        <v>918</v>
      </c>
      <c r="B231" s="1">
        <v>1.0</v>
      </c>
      <c r="E231" s="1">
        <v>275.985059</v>
      </c>
      <c r="F231" s="1">
        <v>229.0</v>
      </c>
    </row>
    <row r="232">
      <c r="A232" s="1" t="s">
        <v>919</v>
      </c>
      <c r="B232" s="1">
        <v>1.0</v>
      </c>
      <c r="E232" s="1">
        <v>277.725884</v>
      </c>
      <c r="F232" s="1">
        <v>230.0</v>
      </c>
    </row>
    <row r="233">
      <c r="A233" s="1" t="s">
        <v>37</v>
      </c>
      <c r="B233" s="1">
        <v>0.0</v>
      </c>
      <c r="E233" s="1">
        <v>278.048162</v>
      </c>
      <c r="F233" s="1">
        <v>231.0</v>
      </c>
    </row>
    <row r="234">
      <c r="A234" s="1" t="s">
        <v>37</v>
      </c>
      <c r="B234" s="1">
        <v>0.0</v>
      </c>
      <c r="E234" s="1">
        <v>278.23032</v>
      </c>
      <c r="F234" s="1">
        <v>232.0</v>
      </c>
    </row>
    <row r="235">
      <c r="A235" s="1" t="s">
        <v>37</v>
      </c>
      <c r="B235" s="1">
        <v>0.0</v>
      </c>
      <c r="E235" s="1">
        <v>279.324118</v>
      </c>
      <c r="F235" s="1">
        <v>233.0</v>
      </c>
    </row>
    <row r="236">
      <c r="A236" s="1" t="s">
        <v>37</v>
      </c>
      <c r="B236" s="1">
        <v>0.0</v>
      </c>
      <c r="E236" s="1">
        <v>281.79533</v>
      </c>
      <c r="F236" s="1">
        <v>234.0</v>
      </c>
    </row>
    <row r="237">
      <c r="A237" s="1" t="s">
        <v>37</v>
      </c>
      <c r="B237" s="1">
        <v>0.0</v>
      </c>
      <c r="E237" s="1">
        <v>282.814311</v>
      </c>
      <c r="F237" s="1">
        <v>235.0</v>
      </c>
    </row>
    <row r="238">
      <c r="A238" s="1" t="s">
        <v>920</v>
      </c>
      <c r="B238" s="1">
        <v>2.0</v>
      </c>
      <c r="E238" s="1">
        <v>285.604566</v>
      </c>
      <c r="F238" s="1">
        <v>236.0</v>
      </c>
    </row>
    <row r="239">
      <c r="A239" s="1" t="s">
        <v>37</v>
      </c>
      <c r="B239" s="1">
        <v>0.0</v>
      </c>
      <c r="E239" s="1">
        <v>289.300794</v>
      </c>
      <c r="F239" s="1">
        <v>237.0</v>
      </c>
    </row>
    <row r="240">
      <c r="A240" s="1" t="s">
        <v>37</v>
      </c>
      <c r="B240" s="1">
        <v>0.0</v>
      </c>
      <c r="E240" s="1">
        <v>289.547252</v>
      </c>
      <c r="F240" s="1">
        <v>238.0</v>
      </c>
    </row>
    <row r="241">
      <c r="A241" s="1" t="s">
        <v>921</v>
      </c>
      <c r="B241" s="1">
        <v>1.0</v>
      </c>
      <c r="E241" s="1">
        <v>291.665963</v>
      </c>
      <c r="F241" s="1">
        <v>239.0</v>
      </c>
    </row>
    <row r="242">
      <c r="A242" s="1" t="s">
        <v>37</v>
      </c>
      <c r="B242" s="1">
        <v>0.0</v>
      </c>
      <c r="E242" s="1">
        <v>293.266474</v>
      </c>
      <c r="F242" s="1">
        <v>240.0</v>
      </c>
    </row>
    <row r="243">
      <c r="A243" s="1" t="s">
        <v>922</v>
      </c>
      <c r="B243" s="1">
        <v>1.0</v>
      </c>
      <c r="E243" s="1">
        <v>297.620871</v>
      </c>
      <c r="F243" s="1">
        <v>241.0</v>
      </c>
    </row>
    <row r="244">
      <c r="A244" s="1" t="s">
        <v>923</v>
      </c>
      <c r="B244" s="1">
        <v>3.0</v>
      </c>
      <c r="E244" s="1">
        <v>297.983167</v>
      </c>
      <c r="F244" s="1">
        <v>242.0</v>
      </c>
    </row>
    <row r="245">
      <c r="A245" s="1" t="s">
        <v>924</v>
      </c>
      <c r="B245" s="1">
        <v>1.0</v>
      </c>
      <c r="E245" s="1">
        <v>300.531757</v>
      </c>
      <c r="F245" s="1">
        <v>243.0</v>
      </c>
    </row>
    <row r="246">
      <c r="A246" s="1" t="s">
        <v>925</v>
      </c>
      <c r="B246" s="1">
        <v>2.0</v>
      </c>
      <c r="E246" s="1">
        <v>302.270423</v>
      </c>
      <c r="F246" s="1">
        <v>244.0</v>
      </c>
    </row>
    <row r="247">
      <c r="A247" s="1" t="s">
        <v>926</v>
      </c>
      <c r="B247" s="1">
        <v>2.0</v>
      </c>
      <c r="E247" s="1">
        <v>306.693915</v>
      </c>
      <c r="F247" s="1">
        <v>245.0</v>
      </c>
    </row>
    <row r="248">
      <c r="A248" s="1" t="s">
        <v>37</v>
      </c>
      <c r="B248" s="1">
        <v>0.0</v>
      </c>
      <c r="E248" s="1">
        <v>308.645525</v>
      </c>
      <c r="F248" s="1">
        <v>246.0</v>
      </c>
    </row>
    <row r="249">
      <c r="A249" s="1" t="s">
        <v>37</v>
      </c>
      <c r="B249" s="1">
        <v>0.0</v>
      </c>
      <c r="E249" s="1">
        <v>309.633672</v>
      </c>
      <c r="F249" s="1">
        <v>247.0</v>
      </c>
    </row>
    <row r="250">
      <c r="A250" s="1" t="s">
        <v>37</v>
      </c>
      <c r="B250" s="1">
        <v>0.0</v>
      </c>
      <c r="E250" s="1">
        <v>310.404852</v>
      </c>
      <c r="F250" s="1">
        <v>248.0</v>
      </c>
    </row>
    <row r="251">
      <c r="A251" s="1" t="s">
        <v>37</v>
      </c>
      <c r="B251" s="1">
        <v>0.0</v>
      </c>
      <c r="E251" s="1">
        <v>311.593437</v>
      </c>
      <c r="F251" s="1">
        <v>249.0</v>
      </c>
    </row>
    <row r="252">
      <c r="A252" s="1" t="s">
        <v>927</v>
      </c>
      <c r="B252" s="1">
        <v>1.0</v>
      </c>
      <c r="E252" s="1">
        <v>313.24234</v>
      </c>
      <c r="F252" s="1">
        <v>250.0</v>
      </c>
    </row>
    <row r="253">
      <c r="A253" s="1" t="s">
        <v>37</v>
      </c>
      <c r="B253" s="1">
        <v>0.0</v>
      </c>
      <c r="E253" s="1">
        <v>313.364093</v>
      </c>
      <c r="F253" s="1">
        <v>251.0</v>
      </c>
    </row>
    <row r="254">
      <c r="A254" s="1" t="s">
        <v>928</v>
      </c>
      <c r="B254" s="1">
        <v>2.0</v>
      </c>
      <c r="E254" s="1">
        <v>313.515426</v>
      </c>
      <c r="F254" s="1">
        <v>252.0</v>
      </c>
    </row>
    <row r="255">
      <c r="A255" s="1" t="s">
        <v>929</v>
      </c>
      <c r="B255" s="1">
        <v>2.0</v>
      </c>
      <c r="E255" s="1">
        <v>314.245725</v>
      </c>
      <c r="F255" s="1">
        <v>253.0</v>
      </c>
    </row>
    <row r="256">
      <c r="A256" s="1" t="s">
        <v>930</v>
      </c>
      <c r="B256" s="1">
        <v>1.0</v>
      </c>
      <c r="E256" s="1">
        <v>316.438112</v>
      </c>
      <c r="F256" s="1">
        <v>254.0</v>
      </c>
    </row>
    <row r="257">
      <c r="A257" s="1" t="s">
        <v>931</v>
      </c>
      <c r="B257" s="1">
        <v>1.0</v>
      </c>
      <c r="E257" s="1">
        <v>317.360849</v>
      </c>
      <c r="F257" s="1">
        <v>255.0</v>
      </c>
    </row>
    <row r="258">
      <c r="A258" s="1" t="s">
        <v>37</v>
      </c>
      <c r="B258" s="1">
        <v>0.0</v>
      </c>
      <c r="E258" s="1">
        <v>318.717404</v>
      </c>
      <c r="F258" s="1">
        <v>256.0</v>
      </c>
    </row>
    <row r="259">
      <c r="A259" s="1" t="s">
        <v>932</v>
      </c>
      <c r="B259" s="1">
        <v>1.0</v>
      </c>
      <c r="E259" s="1">
        <v>318.917247</v>
      </c>
      <c r="F259" s="1">
        <v>257.0</v>
      </c>
    </row>
    <row r="260">
      <c r="A260" s="1" t="s">
        <v>37</v>
      </c>
      <c r="B260" s="1">
        <v>0.0</v>
      </c>
      <c r="E260" s="1">
        <v>320.322092</v>
      </c>
      <c r="F260" s="1">
        <v>258.0</v>
      </c>
    </row>
    <row r="261">
      <c r="A261" s="1" t="s">
        <v>933</v>
      </c>
      <c r="B261" s="1">
        <v>1.0</v>
      </c>
      <c r="E261" s="1">
        <v>324.03809</v>
      </c>
      <c r="F261" s="1">
        <v>259.0</v>
      </c>
    </row>
    <row r="262">
      <c r="A262" s="1" t="s">
        <v>934</v>
      </c>
      <c r="B262" s="1">
        <v>2.0</v>
      </c>
      <c r="E262" s="1">
        <v>324.769816</v>
      </c>
      <c r="F262" s="1">
        <v>260.0</v>
      </c>
    </row>
    <row r="263">
      <c r="A263" s="1" t="s">
        <v>37</v>
      </c>
      <c r="B263" s="1">
        <v>0.0</v>
      </c>
      <c r="E263" s="1">
        <v>324.864254</v>
      </c>
      <c r="F263" s="1">
        <v>261.0</v>
      </c>
    </row>
    <row r="264">
      <c r="A264" s="1" t="s">
        <v>37</v>
      </c>
      <c r="B264" s="1">
        <v>0.0</v>
      </c>
      <c r="E264" s="1">
        <v>324.899097</v>
      </c>
      <c r="F264" s="1">
        <v>262.0</v>
      </c>
    </row>
    <row r="265">
      <c r="A265" s="1" t="s">
        <v>935</v>
      </c>
      <c r="B265" s="1">
        <v>1.0</v>
      </c>
      <c r="E265" s="1">
        <v>326.214186</v>
      </c>
      <c r="F265" s="1">
        <v>263.0</v>
      </c>
    </row>
    <row r="266">
      <c r="A266" s="1" t="s">
        <v>936</v>
      </c>
      <c r="B266" s="1">
        <v>1.0</v>
      </c>
      <c r="E266" s="1">
        <v>326.359643</v>
      </c>
      <c r="F266" s="1">
        <v>264.0</v>
      </c>
    </row>
    <row r="267">
      <c r="A267" s="1" t="s">
        <v>37</v>
      </c>
      <c r="B267" s="1">
        <v>0.0</v>
      </c>
      <c r="E267" s="1">
        <v>326.531635</v>
      </c>
      <c r="F267" s="1">
        <v>265.0</v>
      </c>
    </row>
    <row r="268">
      <c r="A268" s="1" t="s">
        <v>937</v>
      </c>
      <c r="B268" s="1">
        <v>1.0</v>
      </c>
      <c r="E268" s="1">
        <v>328.229776</v>
      </c>
      <c r="F268" s="1">
        <v>266.0</v>
      </c>
    </row>
    <row r="269">
      <c r="A269" s="1" t="s">
        <v>37</v>
      </c>
      <c r="B269" s="1">
        <v>0.0</v>
      </c>
      <c r="E269" s="1">
        <v>330.584681</v>
      </c>
      <c r="F269" s="1">
        <v>267.0</v>
      </c>
    </row>
    <row r="270">
      <c r="A270" s="1" t="s">
        <v>37</v>
      </c>
      <c r="B270" s="1">
        <v>0.0</v>
      </c>
      <c r="E270" s="1">
        <v>331.102163</v>
      </c>
      <c r="F270" s="1">
        <v>268.0</v>
      </c>
    </row>
    <row r="271">
      <c r="A271" s="1" t="s">
        <v>37</v>
      </c>
      <c r="B271" s="1">
        <v>0.0</v>
      </c>
      <c r="E271" s="1">
        <v>334.385432</v>
      </c>
      <c r="F271" s="1">
        <v>269.0</v>
      </c>
    </row>
    <row r="272">
      <c r="A272" s="1" t="s">
        <v>37</v>
      </c>
      <c r="B272" s="1">
        <v>0.0</v>
      </c>
      <c r="E272" s="1">
        <v>337.030596</v>
      </c>
      <c r="F272" s="1">
        <v>270.0</v>
      </c>
    </row>
    <row r="273">
      <c r="A273" s="1" t="s">
        <v>938</v>
      </c>
      <c r="B273" s="1">
        <v>1.0</v>
      </c>
      <c r="E273" s="1">
        <v>337.081152</v>
      </c>
      <c r="F273" s="1">
        <v>271.0</v>
      </c>
    </row>
    <row r="274">
      <c r="A274" s="1" t="s">
        <v>939</v>
      </c>
      <c r="B274" s="1">
        <v>1.0</v>
      </c>
      <c r="E274" s="1">
        <v>337.689113</v>
      </c>
      <c r="F274" s="1">
        <v>272.0</v>
      </c>
    </row>
    <row r="275">
      <c r="A275" s="1" t="s">
        <v>940</v>
      </c>
      <c r="B275" s="1">
        <v>1.0</v>
      </c>
      <c r="E275" s="1">
        <v>338.544142</v>
      </c>
      <c r="F275" s="1">
        <v>273.0</v>
      </c>
    </row>
    <row r="276">
      <c r="A276" s="1" t="s">
        <v>941</v>
      </c>
      <c r="B276" s="1">
        <v>2.0</v>
      </c>
      <c r="E276" s="1">
        <v>339.53862</v>
      </c>
      <c r="F276" s="1">
        <v>274.0</v>
      </c>
    </row>
    <row r="277">
      <c r="A277" s="1" t="s">
        <v>37</v>
      </c>
      <c r="B277" s="1">
        <v>0.0</v>
      </c>
      <c r="E277" s="1">
        <v>340.878938</v>
      </c>
      <c r="F277" s="1">
        <v>275.0</v>
      </c>
    </row>
    <row r="278">
      <c r="A278" s="1" t="s">
        <v>942</v>
      </c>
      <c r="B278" s="1">
        <v>1.0</v>
      </c>
      <c r="E278" s="1">
        <v>341.179573</v>
      </c>
      <c r="F278" s="1">
        <v>276.0</v>
      </c>
    </row>
    <row r="279">
      <c r="A279" s="1" t="s">
        <v>943</v>
      </c>
      <c r="B279" s="1">
        <v>2.0</v>
      </c>
      <c r="E279" s="1">
        <v>341.662142</v>
      </c>
      <c r="F279" s="1">
        <v>277.0</v>
      </c>
    </row>
    <row r="280">
      <c r="A280" s="1" t="s">
        <v>944</v>
      </c>
      <c r="B280" s="1">
        <v>1.0</v>
      </c>
      <c r="E280" s="1">
        <v>341.843391</v>
      </c>
      <c r="F280" s="1">
        <v>278.0</v>
      </c>
    </row>
    <row r="281">
      <c r="A281" s="1" t="s">
        <v>37</v>
      </c>
      <c r="B281" s="1">
        <v>0.0</v>
      </c>
      <c r="E281" s="1">
        <v>342.791522</v>
      </c>
      <c r="F281" s="1">
        <v>279.0</v>
      </c>
    </row>
    <row r="282">
      <c r="A282" s="1" t="s">
        <v>945</v>
      </c>
      <c r="B282" s="1">
        <v>1.0</v>
      </c>
      <c r="E282" s="1">
        <v>346.363571</v>
      </c>
      <c r="F282" s="1">
        <v>280.0</v>
      </c>
    </row>
    <row r="283">
      <c r="A283" s="1" t="s">
        <v>946</v>
      </c>
      <c r="B283" s="1">
        <v>1.0</v>
      </c>
      <c r="E283" s="1">
        <v>346.627657</v>
      </c>
      <c r="F283" s="1">
        <v>281.0</v>
      </c>
    </row>
    <row r="284">
      <c r="A284" s="1" t="s">
        <v>37</v>
      </c>
      <c r="B284" s="1">
        <v>0.0</v>
      </c>
      <c r="E284" s="1">
        <v>347.640985</v>
      </c>
      <c r="F284" s="1">
        <v>282.0</v>
      </c>
    </row>
    <row r="285">
      <c r="A285" s="1" t="s">
        <v>37</v>
      </c>
      <c r="B285" s="1">
        <v>0.0</v>
      </c>
      <c r="E285" s="1">
        <v>348.414677</v>
      </c>
      <c r="F285" s="1">
        <v>283.0</v>
      </c>
    </row>
    <row r="286">
      <c r="A286" s="1" t="s">
        <v>947</v>
      </c>
      <c r="B286" s="1">
        <v>1.0</v>
      </c>
      <c r="E286" s="1">
        <v>348.627477</v>
      </c>
      <c r="F286" s="1">
        <v>284.0</v>
      </c>
    </row>
    <row r="287">
      <c r="A287" s="1" t="s">
        <v>37</v>
      </c>
      <c r="B287" s="1">
        <v>0.0</v>
      </c>
      <c r="E287" s="1">
        <v>350.537843</v>
      </c>
      <c r="F287" s="1">
        <v>285.0</v>
      </c>
    </row>
    <row r="288">
      <c r="A288" s="1" t="s">
        <v>37</v>
      </c>
      <c r="B288" s="1">
        <v>0.0</v>
      </c>
      <c r="E288" s="1">
        <v>351.415892</v>
      </c>
      <c r="F288" s="1">
        <v>286.0</v>
      </c>
    </row>
    <row r="289">
      <c r="A289" s="1" t="s">
        <v>37</v>
      </c>
      <c r="B289" s="1">
        <v>0.0</v>
      </c>
      <c r="E289" s="1">
        <v>351.613591</v>
      </c>
      <c r="F289" s="1">
        <v>287.0</v>
      </c>
    </row>
    <row r="290">
      <c r="A290" s="1" t="s">
        <v>948</v>
      </c>
      <c r="B290" s="1">
        <v>2.0</v>
      </c>
      <c r="E290" s="1">
        <v>352.709312</v>
      </c>
      <c r="F290" s="1">
        <v>288.0</v>
      </c>
    </row>
    <row r="291">
      <c r="A291" s="1" t="s">
        <v>37</v>
      </c>
      <c r="B291" s="1">
        <v>0.0</v>
      </c>
      <c r="E291" s="1">
        <v>353.26181</v>
      </c>
      <c r="F291" s="1">
        <v>289.0</v>
      </c>
    </row>
    <row r="292">
      <c r="A292" s="1" t="s">
        <v>949</v>
      </c>
      <c r="B292" s="1">
        <v>1.0</v>
      </c>
      <c r="E292" s="1">
        <v>354.304528</v>
      </c>
      <c r="F292" s="1">
        <v>290.0</v>
      </c>
    </row>
    <row r="293">
      <c r="A293" s="1" t="s">
        <v>37</v>
      </c>
      <c r="B293" s="1">
        <v>0.0</v>
      </c>
      <c r="E293" s="1">
        <v>354.634569</v>
      </c>
      <c r="F293" s="1">
        <v>291.0</v>
      </c>
    </row>
    <row r="294">
      <c r="A294" s="1" t="s">
        <v>950</v>
      </c>
      <c r="B294" s="1">
        <v>1.0</v>
      </c>
      <c r="E294" s="1">
        <v>354.652763</v>
      </c>
      <c r="F294" s="1">
        <v>292.0</v>
      </c>
    </row>
    <row r="295">
      <c r="A295" s="1" t="s">
        <v>37</v>
      </c>
      <c r="B295" s="1">
        <v>0.0</v>
      </c>
      <c r="E295" s="1">
        <v>354.660798</v>
      </c>
      <c r="F295" s="1">
        <v>293.0</v>
      </c>
    </row>
    <row r="296">
      <c r="A296" s="1" t="s">
        <v>37</v>
      </c>
      <c r="B296" s="1">
        <v>0.0</v>
      </c>
      <c r="E296" s="1">
        <v>356.456749</v>
      </c>
      <c r="F296" s="1">
        <v>294.0</v>
      </c>
    </row>
    <row r="297">
      <c r="A297" s="1" t="s">
        <v>37</v>
      </c>
      <c r="B297" s="1">
        <v>0.0</v>
      </c>
      <c r="E297" s="1">
        <v>356.956478</v>
      </c>
      <c r="F297" s="1">
        <v>295.0</v>
      </c>
    </row>
    <row r="298">
      <c r="A298" s="1" t="s">
        <v>951</v>
      </c>
      <c r="B298" s="1">
        <v>2.0</v>
      </c>
      <c r="E298" s="1">
        <v>357.625528</v>
      </c>
      <c r="F298" s="1">
        <v>296.0</v>
      </c>
    </row>
    <row r="299">
      <c r="A299" s="1" t="s">
        <v>37</v>
      </c>
      <c r="B299" s="1">
        <v>0.0</v>
      </c>
      <c r="E299" s="1">
        <v>359.654414</v>
      </c>
      <c r="F299" s="1">
        <v>297.0</v>
      </c>
    </row>
    <row r="300">
      <c r="A300" s="1" t="s">
        <v>37</v>
      </c>
      <c r="B300" s="1">
        <v>0.0</v>
      </c>
      <c r="E300" s="1">
        <v>359.982639</v>
      </c>
      <c r="F300" s="1">
        <v>298.0</v>
      </c>
    </row>
    <row r="301">
      <c r="A301" s="1" t="s">
        <v>952</v>
      </c>
      <c r="B301" s="1">
        <v>1.0</v>
      </c>
      <c r="E301" s="1">
        <v>363.117539</v>
      </c>
      <c r="F301" s="1">
        <v>299.0</v>
      </c>
    </row>
    <row r="302">
      <c r="A302" s="1" t="s">
        <v>37</v>
      </c>
      <c r="B302" s="1">
        <v>0.0</v>
      </c>
      <c r="E302" s="1">
        <v>363.293948</v>
      </c>
      <c r="F302" s="1">
        <v>300.0</v>
      </c>
    </row>
    <row r="303">
      <c r="A303" s="1" t="s">
        <v>953</v>
      </c>
      <c r="B303" s="1">
        <v>1.0</v>
      </c>
      <c r="E303" s="1">
        <v>363.787443</v>
      </c>
      <c r="F303" s="1">
        <v>301.0</v>
      </c>
    </row>
    <row r="304">
      <c r="A304" s="1" t="s">
        <v>37</v>
      </c>
      <c r="B304" s="1">
        <v>0.0</v>
      </c>
      <c r="E304" s="1">
        <v>366.76533</v>
      </c>
      <c r="F304" s="1">
        <v>302.0</v>
      </c>
    </row>
    <row r="305">
      <c r="A305" s="1" t="s">
        <v>37</v>
      </c>
      <c r="B305" s="1">
        <v>0.0</v>
      </c>
      <c r="E305" s="1">
        <v>367.425427</v>
      </c>
      <c r="F305" s="1">
        <v>303.0</v>
      </c>
    </row>
    <row r="306">
      <c r="A306" s="1" t="s">
        <v>37</v>
      </c>
      <c r="B306" s="1">
        <v>0.0</v>
      </c>
      <c r="E306" s="1">
        <v>370.786387</v>
      </c>
      <c r="F306" s="1">
        <v>304.0</v>
      </c>
    </row>
    <row r="307">
      <c r="A307" s="1" t="s">
        <v>954</v>
      </c>
      <c r="B307" s="1">
        <v>1.0</v>
      </c>
      <c r="E307" s="1">
        <v>370.838478</v>
      </c>
      <c r="F307" s="1">
        <v>305.0</v>
      </c>
    </row>
    <row r="308">
      <c r="A308" s="1" t="s">
        <v>37</v>
      </c>
      <c r="B308" s="1">
        <v>0.0</v>
      </c>
      <c r="E308" s="1">
        <v>371.301298</v>
      </c>
      <c r="F308" s="1">
        <v>306.0</v>
      </c>
    </row>
    <row r="309">
      <c r="A309" s="1" t="s">
        <v>955</v>
      </c>
      <c r="B309" s="1">
        <v>1.0</v>
      </c>
      <c r="E309" s="1">
        <v>372.234416</v>
      </c>
      <c r="F309" s="1">
        <v>307.0</v>
      </c>
    </row>
    <row r="310">
      <c r="A310" s="1" t="s">
        <v>956</v>
      </c>
      <c r="B310" s="1">
        <v>1.0</v>
      </c>
      <c r="E310" s="1">
        <v>373.155069</v>
      </c>
      <c r="F310" s="1">
        <v>308.0</v>
      </c>
    </row>
    <row r="311">
      <c r="A311" s="1" t="s">
        <v>957</v>
      </c>
      <c r="B311" s="1">
        <v>1.0</v>
      </c>
      <c r="E311" s="1">
        <v>374.325264</v>
      </c>
      <c r="F311" s="1">
        <v>309.0</v>
      </c>
    </row>
    <row r="312">
      <c r="A312" s="1" t="s">
        <v>958</v>
      </c>
      <c r="B312" s="1">
        <v>1.0</v>
      </c>
      <c r="E312" s="1">
        <v>375.318862</v>
      </c>
      <c r="F312" s="1">
        <v>310.0</v>
      </c>
    </row>
    <row r="313">
      <c r="A313" s="1" t="s">
        <v>37</v>
      </c>
      <c r="B313" s="1">
        <v>0.0</v>
      </c>
      <c r="E313" s="1">
        <v>375.518075</v>
      </c>
      <c r="F313" s="1">
        <v>311.0</v>
      </c>
    </row>
    <row r="314">
      <c r="A314" s="1" t="s">
        <v>959</v>
      </c>
      <c r="B314" s="1">
        <v>3.0</v>
      </c>
      <c r="E314" s="1">
        <v>376.901029</v>
      </c>
      <c r="F314" s="1">
        <v>312.0</v>
      </c>
    </row>
    <row r="315">
      <c r="A315" s="1" t="s">
        <v>960</v>
      </c>
      <c r="B315" s="1">
        <v>1.0</v>
      </c>
      <c r="E315" s="1">
        <v>377.687705</v>
      </c>
      <c r="F315" s="1">
        <v>313.0</v>
      </c>
    </row>
    <row r="316">
      <c r="A316" s="1" t="s">
        <v>37</v>
      </c>
      <c r="B316" s="1">
        <v>0.0</v>
      </c>
      <c r="E316" s="1">
        <v>382.396319</v>
      </c>
      <c r="F316" s="1">
        <v>314.0</v>
      </c>
    </row>
    <row r="317">
      <c r="A317" s="1" t="s">
        <v>961</v>
      </c>
      <c r="B317" s="1">
        <v>1.0</v>
      </c>
      <c r="E317" s="1">
        <v>382.537105</v>
      </c>
      <c r="F317" s="1">
        <v>315.0</v>
      </c>
    </row>
    <row r="318">
      <c r="A318" s="1" t="s">
        <v>962</v>
      </c>
      <c r="B318" s="1">
        <v>1.0</v>
      </c>
      <c r="E318" s="1">
        <v>382.976441</v>
      </c>
      <c r="F318" s="1">
        <v>316.0</v>
      </c>
    </row>
    <row r="319">
      <c r="A319" s="1" t="s">
        <v>963</v>
      </c>
      <c r="B319" s="1">
        <v>2.0</v>
      </c>
      <c r="E319" s="1">
        <v>383.115458</v>
      </c>
      <c r="F319" s="1">
        <v>317.0</v>
      </c>
    </row>
    <row r="320">
      <c r="A320" s="1" t="s">
        <v>37</v>
      </c>
      <c r="B320" s="1">
        <v>0.0</v>
      </c>
      <c r="E320" s="1">
        <v>383.239528</v>
      </c>
      <c r="F320" s="1">
        <v>318.0</v>
      </c>
    </row>
    <row r="321">
      <c r="A321" s="1" t="s">
        <v>964</v>
      </c>
      <c r="B321" s="1">
        <v>1.0</v>
      </c>
      <c r="E321" s="1">
        <v>385.48918</v>
      </c>
      <c r="F321" s="1">
        <v>319.0</v>
      </c>
    </row>
    <row r="322">
      <c r="A322" s="1" t="s">
        <v>37</v>
      </c>
      <c r="B322" s="1">
        <v>0.0</v>
      </c>
      <c r="E322" s="1">
        <v>386.30146</v>
      </c>
      <c r="F322" s="1">
        <v>320.0</v>
      </c>
    </row>
    <row r="323">
      <c r="A323" s="1" t="s">
        <v>37</v>
      </c>
      <c r="B323" s="1">
        <v>0.0</v>
      </c>
      <c r="E323" s="1">
        <v>386.718163</v>
      </c>
      <c r="F323" s="1">
        <v>321.0</v>
      </c>
    </row>
    <row r="324">
      <c r="A324" s="1" t="s">
        <v>37</v>
      </c>
      <c r="B324" s="1">
        <v>0.0</v>
      </c>
      <c r="E324" s="1">
        <v>387.655984</v>
      </c>
      <c r="F324" s="1">
        <v>322.0</v>
      </c>
    </row>
    <row r="325">
      <c r="A325" s="1" t="s">
        <v>965</v>
      </c>
      <c r="B325" s="1">
        <v>4.0</v>
      </c>
      <c r="E325" s="1">
        <v>387.764151</v>
      </c>
      <c r="F325" s="1">
        <v>323.0</v>
      </c>
    </row>
    <row r="326">
      <c r="A326" s="1" t="s">
        <v>37</v>
      </c>
      <c r="B326" s="1">
        <v>0.0</v>
      </c>
      <c r="E326" s="1">
        <v>389.895183</v>
      </c>
      <c r="F326" s="1">
        <v>324.0</v>
      </c>
    </row>
    <row r="327">
      <c r="A327" s="1" t="s">
        <v>966</v>
      </c>
      <c r="B327" s="1">
        <v>3.0</v>
      </c>
      <c r="E327" s="1">
        <v>392.076167</v>
      </c>
      <c r="F327" s="1">
        <v>325.0</v>
      </c>
    </row>
    <row r="328">
      <c r="A328" s="1" t="s">
        <v>37</v>
      </c>
      <c r="B328" s="1">
        <v>0.0</v>
      </c>
      <c r="E328" s="1">
        <v>398.350367</v>
      </c>
      <c r="F328" s="1">
        <v>326.0</v>
      </c>
    </row>
    <row r="329">
      <c r="A329" s="1" t="s">
        <v>967</v>
      </c>
      <c r="B329" s="1">
        <v>1.0</v>
      </c>
      <c r="E329" s="1">
        <v>398.9519</v>
      </c>
      <c r="F329" s="1">
        <v>327.0</v>
      </c>
    </row>
    <row r="330">
      <c r="A330" s="1" t="s">
        <v>37</v>
      </c>
      <c r="B330" s="1">
        <v>0.0</v>
      </c>
      <c r="E330" s="1">
        <v>399.209249</v>
      </c>
      <c r="F330" s="1">
        <v>328.0</v>
      </c>
    </row>
    <row r="331">
      <c r="A331" s="1" t="s">
        <v>968</v>
      </c>
      <c r="B331" s="1">
        <v>1.0</v>
      </c>
      <c r="E331" s="1">
        <v>400.174285</v>
      </c>
      <c r="F331" s="1">
        <v>329.0</v>
      </c>
    </row>
    <row r="332">
      <c r="A332" s="1" t="s">
        <v>969</v>
      </c>
      <c r="B332" s="1">
        <v>1.0</v>
      </c>
      <c r="E332" s="1">
        <v>400.544676</v>
      </c>
      <c r="F332" s="1">
        <v>330.0</v>
      </c>
    </row>
    <row r="333">
      <c r="A333" s="1" t="s">
        <v>37</v>
      </c>
      <c r="B333" s="1">
        <v>0.0</v>
      </c>
      <c r="E333" s="1">
        <v>402.129612</v>
      </c>
      <c r="F333" s="1">
        <v>331.0</v>
      </c>
    </row>
    <row r="334">
      <c r="A334" s="1" t="s">
        <v>37</v>
      </c>
      <c r="B334" s="1">
        <v>0.0</v>
      </c>
      <c r="E334" s="1">
        <v>402.580887</v>
      </c>
      <c r="F334" s="1">
        <v>332.0</v>
      </c>
    </row>
    <row r="335">
      <c r="A335" s="1" t="s">
        <v>970</v>
      </c>
      <c r="B335" s="1">
        <v>1.0</v>
      </c>
      <c r="E335" s="1">
        <v>404.403602</v>
      </c>
      <c r="F335" s="1">
        <v>333.0</v>
      </c>
    </row>
    <row r="336">
      <c r="A336" s="1" t="s">
        <v>37</v>
      </c>
      <c r="B336" s="1">
        <v>0.0</v>
      </c>
      <c r="E336" s="1">
        <v>404.835359</v>
      </c>
      <c r="F336" s="1">
        <v>334.0</v>
      </c>
    </row>
    <row r="337">
      <c r="A337" s="1" t="s">
        <v>37</v>
      </c>
      <c r="B337" s="1">
        <v>0.0</v>
      </c>
      <c r="E337" s="1">
        <v>405.588774</v>
      </c>
      <c r="F337" s="1">
        <v>335.0</v>
      </c>
    </row>
    <row r="338">
      <c r="A338" s="1" t="s">
        <v>971</v>
      </c>
      <c r="B338" s="1">
        <v>3.0</v>
      </c>
      <c r="E338" s="1">
        <v>406.490399</v>
      </c>
      <c r="F338" s="1">
        <v>336.0</v>
      </c>
    </row>
    <row r="339">
      <c r="A339" s="1" t="s">
        <v>972</v>
      </c>
      <c r="B339" s="1">
        <v>1.0</v>
      </c>
      <c r="E339" s="1">
        <v>406.815528</v>
      </c>
      <c r="F339" s="1">
        <v>337.0</v>
      </c>
    </row>
    <row r="340">
      <c r="A340" s="1" t="s">
        <v>973</v>
      </c>
      <c r="B340" s="1">
        <v>1.0</v>
      </c>
      <c r="E340" s="1">
        <v>407.454632</v>
      </c>
      <c r="F340" s="1">
        <v>338.0</v>
      </c>
    </row>
    <row r="341">
      <c r="A341" s="1" t="s">
        <v>974</v>
      </c>
      <c r="B341" s="1">
        <v>1.0</v>
      </c>
      <c r="E341" s="1">
        <v>407.70065</v>
      </c>
      <c r="F341" s="1">
        <v>339.0</v>
      </c>
    </row>
    <row r="342">
      <c r="A342" s="1" t="s">
        <v>975</v>
      </c>
      <c r="B342" s="1">
        <v>3.0</v>
      </c>
      <c r="E342" s="1">
        <v>411.35283</v>
      </c>
      <c r="F342" s="1">
        <v>340.0</v>
      </c>
    </row>
    <row r="343">
      <c r="A343" s="1" t="s">
        <v>976</v>
      </c>
      <c r="B343" s="1">
        <v>1.0</v>
      </c>
      <c r="E343" s="1">
        <v>411.94628</v>
      </c>
      <c r="F343" s="1">
        <v>341.0</v>
      </c>
    </row>
    <row r="344">
      <c r="A344" s="1" t="s">
        <v>37</v>
      </c>
      <c r="B344" s="1">
        <v>0.0</v>
      </c>
      <c r="E344" s="1">
        <v>412.830763</v>
      </c>
      <c r="F344" s="1">
        <v>342.0</v>
      </c>
    </row>
    <row r="345">
      <c r="A345" s="1" t="s">
        <v>37</v>
      </c>
      <c r="B345" s="1">
        <v>0.0</v>
      </c>
      <c r="E345" s="1">
        <v>413.087097</v>
      </c>
      <c r="F345" s="1">
        <v>343.0</v>
      </c>
    </row>
    <row r="346">
      <c r="A346" s="1" t="s">
        <v>37</v>
      </c>
      <c r="B346" s="1">
        <v>0.0</v>
      </c>
      <c r="E346" s="1">
        <v>413.378608</v>
      </c>
      <c r="F346" s="1">
        <v>344.0</v>
      </c>
    </row>
    <row r="347">
      <c r="A347" s="1" t="s">
        <v>977</v>
      </c>
      <c r="B347" s="1">
        <v>2.0</v>
      </c>
      <c r="E347" s="1">
        <v>414.495491</v>
      </c>
      <c r="F347" s="1">
        <v>345.0</v>
      </c>
    </row>
    <row r="348">
      <c r="A348" s="1" t="s">
        <v>978</v>
      </c>
      <c r="B348" s="1">
        <v>1.0</v>
      </c>
      <c r="E348" s="1">
        <v>414.56947</v>
      </c>
      <c r="F348" s="1">
        <v>346.0</v>
      </c>
    </row>
    <row r="349">
      <c r="A349" s="1" t="s">
        <v>979</v>
      </c>
      <c r="B349" s="1">
        <v>2.0</v>
      </c>
      <c r="E349" s="1">
        <v>414.647451</v>
      </c>
      <c r="F349" s="1">
        <v>347.0</v>
      </c>
    </row>
    <row r="350">
      <c r="A350" s="1" t="s">
        <v>37</v>
      </c>
      <c r="B350" s="1">
        <v>0.0</v>
      </c>
      <c r="E350" s="1">
        <v>415.025435</v>
      </c>
      <c r="F350" s="1">
        <v>348.0</v>
      </c>
    </row>
    <row r="351">
      <c r="A351" s="1" t="s">
        <v>980</v>
      </c>
      <c r="B351" s="1">
        <v>1.0</v>
      </c>
      <c r="E351" s="1">
        <v>418.337265</v>
      </c>
      <c r="F351" s="1">
        <v>349.0</v>
      </c>
    </row>
    <row r="352">
      <c r="A352" s="1" t="s">
        <v>981</v>
      </c>
      <c r="B352" s="1">
        <v>2.0</v>
      </c>
      <c r="E352" s="1">
        <v>418.62411</v>
      </c>
      <c r="F352" s="1">
        <v>350.0</v>
      </c>
    </row>
    <row r="353">
      <c r="A353" s="1" t="s">
        <v>982</v>
      </c>
      <c r="B353" s="1">
        <v>1.0</v>
      </c>
      <c r="E353" s="1">
        <v>419.98184</v>
      </c>
      <c r="F353" s="1">
        <v>351.0</v>
      </c>
    </row>
    <row r="354">
      <c r="A354" s="1" t="s">
        <v>983</v>
      </c>
      <c r="B354" s="1">
        <v>1.0</v>
      </c>
      <c r="E354" s="1">
        <v>421.074472</v>
      </c>
      <c r="F354" s="1">
        <v>352.0</v>
      </c>
    </row>
    <row r="355">
      <c r="A355" s="1" t="s">
        <v>984</v>
      </c>
      <c r="B355" s="1">
        <v>4.0</v>
      </c>
      <c r="E355" s="1">
        <v>422.167787</v>
      </c>
      <c r="F355" s="1">
        <v>353.0</v>
      </c>
    </row>
    <row r="356">
      <c r="A356" s="1" t="s">
        <v>37</v>
      </c>
      <c r="B356" s="1">
        <v>0.0</v>
      </c>
      <c r="E356" s="1">
        <v>422.341825</v>
      </c>
      <c r="F356" s="1">
        <v>354.0</v>
      </c>
    </row>
    <row r="357">
      <c r="A357" s="1" t="s">
        <v>985</v>
      </c>
      <c r="B357" s="1">
        <v>2.0</v>
      </c>
      <c r="E357" s="1">
        <v>422.586441</v>
      </c>
      <c r="F357" s="1">
        <v>355.0</v>
      </c>
    </row>
    <row r="358">
      <c r="A358" s="1" t="s">
        <v>986</v>
      </c>
      <c r="B358" s="1">
        <v>1.0</v>
      </c>
      <c r="E358" s="1">
        <v>423.662894</v>
      </c>
      <c r="F358" s="1">
        <v>356.0</v>
      </c>
    </row>
    <row r="359">
      <c r="A359" s="1" t="s">
        <v>37</v>
      </c>
      <c r="B359" s="1">
        <v>0.0</v>
      </c>
      <c r="E359" s="1">
        <v>424.116614</v>
      </c>
      <c r="F359" s="1">
        <v>357.0</v>
      </c>
    </row>
    <row r="360">
      <c r="A360" s="1" t="s">
        <v>987</v>
      </c>
      <c r="B360" s="1">
        <v>2.0</v>
      </c>
      <c r="E360" s="1">
        <v>426.765122</v>
      </c>
      <c r="F360" s="1">
        <v>358.0</v>
      </c>
    </row>
    <row r="361">
      <c r="A361" s="1" t="s">
        <v>37</v>
      </c>
      <c r="B361" s="1">
        <v>0.0</v>
      </c>
      <c r="E361" s="1">
        <v>427.142517</v>
      </c>
      <c r="F361" s="1">
        <v>359.0</v>
      </c>
    </row>
    <row r="362">
      <c r="A362" s="1" t="s">
        <v>37</v>
      </c>
      <c r="B362" s="1">
        <v>0.0</v>
      </c>
      <c r="E362" s="1">
        <v>427.359091</v>
      </c>
      <c r="F362" s="1">
        <v>360.0</v>
      </c>
    </row>
    <row r="363">
      <c r="A363" s="1" t="s">
        <v>37</v>
      </c>
      <c r="B363" s="1">
        <v>0.0</v>
      </c>
      <c r="E363" s="1">
        <v>428.794314</v>
      </c>
      <c r="F363" s="1">
        <v>361.0</v>
      </c>
    </row>
    <row r="364">
      <c r="A364" s="1" t="s">
        <v>988</v>
      </c>
      <c r="B364" s="1">
        <v>3.0</v>
      </c>
      <c r="E364" s="1">
        <v>429.181993</v>
      </c>
      <c r="F364" s="1">
        <v>362.0</v>
      </c>
    </row>
    <row r="365">
      <c r="A365" s="1" t="s">
        <v>37</v>
      </c>
      <c r="B365" s="1">
        <v>0.0</v>
      </c>
      <c r="E365" s="1">
        <v>429.357626</v>
      </c>
      <c r="F365" s="1">
        <v>363.0</v>
      </c>
    </row>
    <row r="366">
      <c r="A366" s="1" t="s">
        <v>37</v>
      </c>
      <c r="B366" s="1">
        <v>0.0</v>
      </c>
      <c r="E366" s="1">
        <v>429.72203</v>
      </c>
      <c r="F366" s="1">
        <v>364.0</v>
      </c>
    </row>
    <row r="367">
      <c r="A367" s="1" t="s">
        <v>989</v>
      </c>
      <c r="B367" s="1">
        <v>1.0</v>
      </c>
      <c r="E367" s="1">
        <v>431.134308</v>
      </c>
      <c r="F367" s="1">
        <v>365.0</v>
      </c>
    </row>
    <row r="368">
      <c r="A368" s="1" t="s">
        <v>990</v>
      </c>
      <c r="B368" s="1">
        <v>1.0</v>
      </c>
      <c r="E368" s="1">
        <v>432.481918</v>
      </c>
      <c r="F368" s="1">
        <v>366.0</v>
      </c>
    </row>
    <row r="369">
      <c r="A369" s="1" t="s">
        <v>37</v>
      </c>
      <c r="B369" s="1">
        <v>0.0</v>
      </c>
      <c r="E369" s="1">
        <v>434.543898</v>
      </c>
      <c r="F369" s="1">
        <v>367.0</v>
      </c>
    </row>
    <row r="370">
      <c r="A370" s="1" t="s">
        <v>37</v>
      </c>
      <c r="B370" s="1">
        <v>0.0</v>
      </c>
      <c r="E370" s="1">
        <v>435.935881</v>
      </c>
      <c r="F370" s="1">
        <v>368.0</v>
      </c>
    </row>
    <row r="371">
      <c r="A371" s="1" t="s">
        <v>991</v>
      </c>
      <c r="B371" s="1">
        <v>2.0</v>
      </c>
      <c r="E371" s="1">
        <v>436.852127</v>
      </c>
      <c r="F371" s="1">
        <v>369.0</v>
      </c>
    </row>
    <row r="372">
      <c r="A372" s="1" t="s">
        <v>992</v>
      </c>
      <c r="B372" s="1">
        <v>1.0</v>
      </c>
      <c r="E372" s="1">
        <v>437.006607</v>
      </c>
      <c r="F372" s="1">
        <v>370.0</v>
      </c>
    </row>
    <row r="373">
      <c r="A373" s="1" t="s">
        <v>993</v>
      </c>
      <c r="B373" s="1">
        <v>1.0</v>
      </c>
      <c r="E373" s="1">
        <v>438.214101</v>
      </c>
      <c r="F373" s="1">
        <v>371.0</v>
      </c>
    </row>
    <row r="374">
      <c r="A374" s="1" t="s">
        <v>994</v>
      </c>
      <c r="B374" s="1">
        <v>1.0</v>
      </c>
      <c r="E374" s="1">
        <v>438.76033</v>
      </c>
      <c r="F374" s="1">
        <v>372.0</v>
      </c>
    </row>
    <row r="375">
      <c r="A375" s="1" t="s">
        <v>995</v>
      </c>
      <c r="B375" s="1">
        <v>1.0</v>
      </c>
      <c r="E375" s="1">
        <v>441.473518</v>
      </c>
      <c r="F375" s="1">
        <v>373.0</v>
      </c>
    </row>
    <row r="376">
      <c r="A376" s="1" t="s">
        <v>996</v>
      </c>
      <c r="B376" s="1">
        <v>2.0</v>
      </c>
      <c r="E376" s="1">
        <v>441.885047</v>
      </c>
      <c r="F376" s="1">
        <v>374.0</v>
      </c>
    </row>
    <row r="377">
      <c r="A377" s="1" t="s">
        <v>997</v>
      </c>
      <c r="B377" s="1">
        <v>1.0</v>
      </c>
      <c r="E377" s="1">
        <v>441.931675</v>
      </c>
      <c r="F377" s="1">
        <v>375.0</v>
      </c>
    </row>
    <row r="378">
      <c r="A378" s="1" t="s">
        <v>998</v>
      </c>
      <c r="B378" s="1">
        <v>1.0</v>
      </c>
      <c r="E378" s="1">
        <v>442.646326</v>
      </c>
      <c r="F378" s="1">
        <v>376.0</v>
      </c>
    </row>
    <row r="379">
      <c r="A379" s="1" t="s">
        <v>37</v>
      </c>
      <c r="B379" s="1">
        <v>0.0</v>
      </c>
      <c r="E379" s="1">
        <v>446.444121</v>
      </c>
      <c r="F379" s="1">
        <v>377.0</v>
      </c>
    </row>
    <row r="380">
      <c r="A380" s="1" t="s">
        <v>37</v>
      </c>
      <c r="B380" s="1">
        <v>0.0</v>
      </c>
      <c r="E380" s="1">
        <v>448.577732</v>
      </c>
      <c r="F380" s="1">
        <v>378.0</v>
      </c>
    </row>
    <row r="381">
      <c r="A381" s="1" t="s">
        <v>37</v>
      </c>
      <c r="B381" s="1">
        <v>0.0</v>
      </c>
      <c r="E381" s="1">
        <v>452.824779</v>
      </c>
      <c r="F381" s="1">
        <v>379.0</v>
      </c>
    </row>
    <row r="382">
      <c r="A382" s="1" t="s">
        <v>37</v>
      </c>
      <c r="B382" s="1">
        <v>0.0</v>
      </c>
      <c r="E382" s="1">
        <v>454.779043</v>
      </c>
      <c r="F382" s="1">
        <v>380.0</v>
      </c>
    </row>
    <row r="383">
      <c r="A383" s="1" t="s">
        <v>999</v>
      </c>
      <c r="B383" s="1">
        <v>3.0</v>
      </c>
      <c r="E383" s="1">
        <v>455.04459</v>
      </c>
      <c r="F383" s="1">
        <v>381.0</v>
      </c>
    </row>
    <row r="384">
      <c r="A384" s="1" t="s">
        <v>1000</v>
      </c>
      <c r="B384" s="1">
        <v>2.0</v>
      </c>
      <c r="E384" s="1">
        <v>455.167166</v>
      </c>
      <c r="F384" s="1">
        <v>382.0</v>
      </c>
    </row>
    <row r="385">
      <c r="A385" s="1" t="s">
        <v>37</v>
      </c>
      <c r="B385" s="1">
        <v>0.0</v>
      </c>
      <c r="E385" s="1">
        <v>456.900205</v>
      </c>
      <c r="F385" s="1">
        <v>383.0</v>
      </c>
    </row>
    <row r="386">
      <c r="A386" s="1" t="s">
        <v>1001</v>
      </c>
      <c r="B386" s="1">
        <v>1.0</v>
      </c>
      <c r="E386" s="1">
        <v>458.473254</v>
      </c>
      <c r="F386" s="1">
        <v>384.0</v>
      </c>
    </row>
    <row r="387">
      <c r="A387" s="1" t="s">
        <v>1002</v>
      </c>
      <c r="B387" s="1">
        <v>2.0</v>
      </c>
      <c r="E387" s="1">
        <v>460.570959</v>
      </c>
      <c r="F387" s="1">
        <v>385.0</v>
      </c>
    </row>
    <row r="388">
      <c r="A388" s="1" t="s">
        <v>1003</v>
      </c>
      <c r="B388" s="1">
        <v>2.0</v>
      </c>
      <c r="E388" s="1">
        <v>461.963608</v>
      </c>
      <c r="F388" s="1">
        <v>386.0</v>
      </c>
    </row>
    <row r="389">
      <c r="A389" s="1" t="s">
        <v>37</v>
      </c>
      <c r="B389" s="1">
        <v>0.0</v>
      </c>
      <c r="E389" s="1">
        <v>462.714088</v>
      </c>
      <c r="F389" s="1">
        <v>387.0</v>
      </c>
    </row>
    <row r="390">
      <c r="A390" s="1" t="s">
        <v>1004</v>
      </c>
      <c r="B390" s="1">
        <v>1.0</v>
      </c>
      <c r="E390" s="1">
        <v>463.104583</v>
      </c>
      <c r="F390" s="1">
        <v>388.0</v>
      </c>
    </row>
    <row r="391">
      <c r="A391" s="1" t="s">
        <v>37</v>
      </c>
      <c r="B391" s="1">
        <v>0.0</v>
      </c>
      <c r="E391" s="1">
        <v>464.77639</v>
      </c>
      <c r="F391" s="1">
        <v>389.0</v>
      </c>
    </row>
    <row r="392">
      <c r="A392" s="1" t="s">
        <v>37</v>
      </c>
      <c r="B392" s="1">
        <v>0.0</v>
      </c>
      <c r="E392" s="1">
        <v>465.488305</v>
      </c>
      <c r="F392" s="1">
        <v>390.0</v>
      </c>
    </row>
    <row r="393">
      <c r="A393" s="1" t="s">
        <v>1005</v>
      </c>
      <c r="B393" s="1">
        <v>1.0</v>
      </c>
      <c r="E393" s="1">
        <v>465.588198</v>
      </c>
      <c r="F393" s="1">
        <v>391.0</v>
      </c>
    </row>
    <row r="394">
      <c r="A394" s="1" t="s">
        <v>37</v>
      </c>
      <c r="B394" s="1">
        <v>0.0</v>
      </c>
      <c r="E394" s="1">
        <v>467.283145</v>
      </c>
      <c r="F394" s="1">
        <v>392.0</v>
      </c>
    </row>
    <row r="395">
      <c r="A395" s="1" t="s">
        <v>37</v>
      </c>
      <c r="B395" s="1">
        <v>0.0</v>
      </c>
      <c r="E395" s="1">
        <v>467.418736</v>
      </c>
      <c r="F395" s="1">
        <v>393.0</v>
      </c>
    </row>
    <row r="396">
      <c r="A396" s="1" t="s">
        <v>37</v>
      </c>
      <c r="B396" s="1">
        <v>0.0</v>
      </c>
      <c r="E396" s="1">
        <v>468.165589</v>
      </c>
      <c r="F396" s="1">
        <v>394.0</v>
      </c>
    </row>
    <row r="397">
      <c r="A397" s="1" t="s">
        <v>37</v>
      </c>
      <c r="B397" s="1">
        <v>0.0</v>
      </c>
      <c r="E397" s="1">
        <v>468.551318</v>
      </c>
      <c r="F397" s="1">
        <v>395.0</v>
      </c>
    </row>
    <row r="398">
      <c r="A398" s="1" t="s">
        <v>37</v>
      </c>
      <c r="B398" s="1">
        <v>0.0</v>
      </c>
      <c r="E398" s="1">
        <v>471.352725</v>
      </c>
      <c r="F398" s="1">
        <v>396.0</v>
      </c>
    </row>
    <row r="399">
      <c r="A399" s="1" t="s">
        <v>1006</v>
      </c>
      <c r="B399" s="1">
        <v>2.0</v>
      </c>
      <c r="E399" s="1">
        <v>473.649463</v>
      </c>
      <c r="F399" s="1">
        <v>397.0</v>
      </c>
    </row>
    <row r="400">
      <c r="A400" s="1" t="s">
        <v>1007</v>
      </c>
      <c r="B400" s="1">
        <v>1.0</v>
      </c>
      <c r="E400" s="1">
        <v>476.259555</v>
      </c>
      <c r="F400" s="1">
        <v>398.0</v>
      </c>
    </row>
    <row r="401">
      <c r="A401" s="1" t="s">
        <v>1008</v>
      </c>
      <c r="B401" s="1">
        <v>2.0</v>
      </c>
      <c r="E401" s="1">
        <v>476.448055</v>
      </c>
      <c r="F401" s="1">
        <v>399.0</v>
      </c>
    </row>
    <row r="402">
      <c r="A402" s="1" t="s">
        <v>37</v>
      </c>
      <c r="B402" s="1">
        <v>0.0</v>
      </c>
      <c r="E402" s="1">
        <v>477.911731</v>
      </c>
      <c r="F402" s="1">
        <v>400.0</v>
      </c>
    </row>
    <row r="403">
      <c r="A403" s="1" t="s">
        <v>1009</v>
      </c>
      <c r="B403" s="1">
        <v>2.0</v>
      </c>
      <c r="E403" s="1">
        <v>478.007824</v>
      </c>
      <c r="F403" s="1">
        <v>401.0</v>
      </c>
    </row>
    <row r="404">
      <c r="A404" s="1" t="s">
        <v>37</v>
      </c>
      <c r="B404" s="1">
        <v>0.0</v>
      </c>
      <c r="E404" s="1">
        <v>478.173443</v>
      </c>
      <c r="F404" s="1">
        <v>402.0</v>
      </c>
    </row>
    <row r="405">
      <c r="A405" s="1" t="s">
        <v>1010</v>
      </c>
      <c r="B405" s="1">
        <v>2.0</v>
      </c>
      <c r="E405" s="1">
        <v>478.333122</v>
      </c>
      <c r="F405" s="1">
        <v>403.0</v>
      </c>
    </row>
    <row r="406">
      <c r="A406" s="1" t="s">
        <v>1011</v>
      </c>
      <c r="B406" s="1">
        <v>1.0</v>
      </c>
      <c r="E406" s="1">
        <v>481.081117</v>
      </c>
      <c r="F406" s="1">
        <v>404.0</v>
      </c>
    </row>
    <row r="407">
      <c r="A407" s="1" t="s">
        <v>1012</v>
      </c>
      <c r="B407" s="1">
        <v>2.0</v>
      </c>
      <c r="E407" s="1">
        <v>481.286005</v>
      </c>
      <c r="F407" s="1">
        <v>405.0</v>
      </c>
    </row>
    <row r="408">
      <c r="A408" s="1" t="s">
        <v>1013</v>
      </c>
      <c r="B408" s="1">
        <v>2.0</v>
      </c>
      <c r="E408" s="1">
        <v>481.94753</v>
      </c>
      <c r="F408" s="1">
        <v>406.0</v>
      </c>
    </row>
    <row r="409">
      <c r="A409" s="1" t="s">
        <v>37</v>
      </c>
      <c r="B409" s="1">
        <v>0.0</v>
      </c>
      <c r="E409" s="1">
        <v>485.271497</v>
      </c>
      <c r="F409" s="1">
        <v>407.0</v>
      </c>
    </row>
    <row r="410">
      <c r="A410" s="1" t="s">
        <v>37</v>
      </c>
      <c r="B410" s="1">
        <v>0.0</v>
      </c>
      <c r="E410" s="1">
        <v>487.928297</v>
      </c>
      <c r="F410" s="1">
        <v>408.0</v>
      </c>
    </row>
    <row r="411">
      <c r="A411" s="1" t="s">
        <v>37</v>
      </c>
      <c r="B411" s="1">
        <v>0.0</v>
      </c>
      <c r="E411" s="1">
        <v>488.410929</v>
      </c>
      <c r="F411" s="1">
        <v>409.0</v>
      </c>
    </row>
    <row r="412">
      <c r="A412" s="1" t="s">
        <v>1014</v>
      </c>
      <c r="B412" s="1">
        <v>2.0</v>
      </c>
      <c r="E412" s="1">
        <v>488.52382</v>
      </c>
      <c r="F412" s="1">
        <v>410.0</v>
      </c>
    </row>
    <row r="413">
      <c r="A413" s="1" t="s">
        <v>1015</v>
      </c>
      <c r="B413" s="1">
        <v>1.0</v>
      </c>
      <c r="E413" s="1">
        <v>488.667488</v>
      </c>
      <c r="F413" s="1">
        <v>411.0</v>
      </c>
    </row>
    <row r="414">
      <c r="A414" s="1" t="s">
        <v>1016</v>
      </c>
      <c r="B414" s="1">
        <v>2.0</v>
      </c>
      <c r="E414" s="1">
        <v>488.945281</v>
      </c>
      <c r="F414" s="1">
        <v>412.0</v>
      </c>
    </row>
    <row r="415">
      <c r="A415" s="1" t="s">
        <v>1017</v>
      </c>
      <c r="B415" s="1">
        <v>3.0</v>
      </c>
      <c r="E415" s="1">
        <v>489.541505</v>
      </c>
      <c r="F415" s="1">
        <v>413.0</v>
      </c>
    </row>
    <row r="416">
      <c r="A416" s="1" t="s">
        <v>1018</v>
      </c>
      <c r="B416" s="1">
        <v>1.0</v>
      </c>
      <c r="E416" s="1">
        <v>490.688138</v>
      </c>
      <c r="F416" s="1">
        <v>414.0</v>
      </c>
    </row>
    <row r="417">
      <c r="A417" s="1" t="s">
        <v>37</v>
      </c>
      <c r="B417" s="1">
        <v>0.0</v>
      </c>
      <c r="E417" s="1">
        <v>491.351597</v>
      </c>
      <c r="F417" s="1">
        <v>415.0</v>
      </c>
    </row>
    <row r="418">
      <c r="A418" s="1" t="s">
        <v>37</v>
      </c>
      <c r="B418" s="1">
        <v>0.0</v>
      </c>
      <c r="E418" s="1">
        <v>491.651644</v>
      </c>
      <c r="F418" s="1">
        <v>416.0</v>
      </c>
    </row>
    <row r="419">
      <c r="A419" s="1" t="s">
        <v>1019</v>
      </c>
      <c r="B419" s="1">
        <v>2.0</v>
      </c>
      <c r="E419" s="1">
        <v>491.748654</v>
      </c>
      <c r="F419" s="1">
        <v>417.0</v>
      </c>
    </row>
    <row r="420">
      <c r="A420" s="1" t="s">
        <v>1020</v>
      </c>
      <c r="B420" s="1">
        <v>1.0</v>
      </c>
      <c r="E420" s="1">
        <v>491.770335</v>
      </c>
      <c r="F420" s="1">
        <v>418.0</v>
      </c>
    </row>
    <row r="421">
      <c r="A421" s="1" t="s">
        <v>37</v>
      </c>
      <c r="B421" s="1">
        <v>0.0</v>
      </c>
      <c r="E421" s="1">
        <v>492.342013</v>
      </c>
      <c r="F421" s="1">
        <v>419.0</v>
      </c>
    </row>
    <row r="422">
      <c r="A422" s="1" t="s">
        <v>1021</v>
      </c>
      <c r="B422" s="1">
        <v>1.0</v>
      </c>
      <c r="E422" s="1">
        <v>495.533173</v>
      </c>
      <c r="F422" s="1">
        <v>420.0</v>
      </c>
    </row>
    <row r="423">
      <c r="A423" s="1" t="s">
        <v>1022</v>
      </c>
      <c r="B423" s="1">
        <v>3.0</v>
      </c>
      <c r="E423" s="1">
        <v>498.466246</v>
      </c>
      <c r="F423" s="1">
        <v>421.0</v>
      </c>
    </row>
    <row r="424">
      <c r="A424" s="1" t="s">
        <v>1023</v>
      </c>
      <c r="B424" s="1">
        <v>1.0</v>
      </c>
      <c r="E424" s="1">
        <v>500.044496</v>
      </c>
      <c r="F424" s="1">
        <v>422.0</v>
      </c>
    </row>
    <row r="425">
      <c r="A425" s="1" t="s">
        <v>1024</v>
      </c>
      <c r="B425" s="1">
        <v>1.0</v>
      </c>
      <c r="E425" s="1">
        <v>502.313789</v>
      </c>
      <c r="F425" s="1">
        <v>423.0</v>
      </c>
    </row>
    <row r="426">
      <c r="A426" s="1" t="s">
        <v>37</v>
      </c>
      <c r="B426" s="1">
        <v>0.0</v>
      </c>
      <c r="E426" s="1">
        <v>502.69154</v>
      </c>
      <c r="F426" s="1">
        <v>424.0</v>
      </c>
    </row>
    <row r="427">
      <c r="A427" s="1" t="s">
        <v>1025</v>
      </c>
      <c r="B427" s="1">
        <v>1.0</v>
      </c>
      <c r="E427" s="1">
        <v>503.71756</v>
      </c>
      <c r="F427" s="1">
        <v>425.0</v>
      </c>
    </row>
    <row r="428">
      <c r="A428" s="1" t="s">
        <v>1026</v>
      </c>
      <c r="B428" s="1">
        <v>2.0</v>
      </c>
      <c r="E428" s="1">
        <v>505.475942</v>
      </c>
      <c r="F428" s="1">
        <v>426.0</v>
      </c>
    </row>
    <row r="429">
      <c r="A429" s="1" t="s">
        <v>1027</v>
      </c>
      <c r="B429" s="1">
        <v>1.0</v>
      </c>
      <c r="E429" s="1">
        <v>505.888562</v>
      </c>
      <c r="F429" s="1">
        <v>427.0</v>
      </c>
    </row>
    <row r="430">
      <c r="A430" s="1" t="s">
        <v>1028</v>
      </c>
      <c r="B430" s="1">
        <v>3.0</v>
      </c>
      <c r="E430" s="1">
        <v>506.04914</v>
      </c>
      <c r="F430" s="1">
        <v>428.0</v>
      </c>
    </row>
    <row r="431">
      <c r="A431" s="1" t="s">
        <v>37</v>
      </c>
      <c r="B431" s="1">
        <v>0.0</v>
      </c>
      <c r="E431" s="1">
        <v>508.794909</v>
      </c>
      <c r="F431" s="1">
        <v>429.0</v>
      </c>
    </row>
    <row r="432">
      <c r="A432" s="1" t="s">
        <v>1029</v>
      </c>
      <c r="B432" s="1">
        <v>1.0</v>
      </c>
      <c r="E432" s="1">
        <v>510.099719</v>
      </c>
      <c r="F432" s="1">
        <v>430.0</v>
      </c>
    </row>
    <row r="433">
      <c r="A433" s="1" t="s">
        <v>1030</v>
      </c>
      <c r="B433" s="1">
        <v>1.0</v>
      </c>
      <c r="E433" s="1">
        <v>511.804613</v>
      </c>
      <c r="F433" s="1">
        <v>431.0</v>
      </c>
    </row>
    <row r="434">
      <c r="A434" s="1" t="s">
        <v>890</v>
      </c>
      <c r="B434" s="1">
        <v>1.0</v>
      </c>
      <c r="E434" s="1">
        <v>513.647719</v>
      </c>
      <c r="F434" s="1">
        <v>432.0</v>
      </c>
    </row>
    <row r="435">
      <c r="A435" s="1" t="s">
        <v>1031</v>
      </c>
      <c r="B435" s="1">
        <v>1.0</v>
      </c>
      <c r="E435" s="1">
        <v>515.277467</v>
      </c>
      <c r="F435" s="1">
        <v>433.0</v>
      </c>
    </row>
    <row r="436">
      <c r="A436" s="1" t="s">
        <v>1032</v>
      </c>
      <c r="B436" s="1">
        <v>1.0</v>
      </c>
      <c r="E436" s="1">
        <v>516.448022</v>
      </c>
      <c r="F436" s="1">
        <v>434.0</v>
      </c>
    </row>
    <row r="437">
      <c r="A437" s="1" t="s">
        <v>1033</v>
      </c>
      <c r="B437" s="1">
        <v>1.0</v>
      </c>
      <c r="E437" s="1">
        <v>518.15392</v>
      </c>
      <c r="F437" s="1">
        <v>435.0</v>
      </c>
    </row>
    <row r="438">
      <c r="A438" s="1" t="s">
        <v>1034</v>
      </c>
      <c r="B438" s="1">
        <v>1.0</v>
      </c>
      <c r="E438" s="1">
        <v>519.072361</v>
      </c>
      <c r="F438" s="1">
        <v>436.0</v>
      </c>
    </row>
    <row r="439">
      <c r="A439" s="1" t="s">
        <v>1035</v>
      </c>
      <c r="B439" s="1">
        <v>2.0</v>
      </c>
      <c r="E439" s="1">
        <v>519.117517</v>
      </c>
      <c r="F439" s="1">
        <v>437.0</v>
      </c>
    </row>
    <row r="440">
      <c r="A440" s="1" t="s">
        <v>37</v>
      </c>
      <c r="B440" s="1">
        <v>0.0</v>
      </c>
      <c r="E440" s="1">
        <v>521.122824</v>
      </c>
      <c r="F440" s="1">
        <v>438.0</v>
      </c>
    </row>
    <row r="441">
      <c r="A441" s="1" t="s">
        <v>37</v>
      </c>
      <c r="B441" s="1">
        <v>0.0</v>
      </c>
      <c r="E441" s="1">
        <v>521.848169</v>
      </c>
      <c r="F441" s="1">
        <v>439.0</v>
      </c>
    </row>
    <row r="442">
      <c r="A442" s="1" t="s">
        <v>1036</v>
      </c>
      <c r="B442" s="1">
        <v>3.0</v>
      </c>
      <c r="E442" s="1">
        <v>521.864948</v>
      </c>
      <c r="F442" s="1">
        <v>440.0</v>
      </c>
    </row>
    <row r="443">
      <c r="A443" s="1" t="s">
        <v>1037</v>
      </c>
      <c r="B443" s="1">
        <v>1.0</v>
      </c>
      <c r="E443" s="1">
        <v>523.490086</v>
      </c>
      <c r="F443" s="1">
        <v>441.0</v>
      </c>
    </row>
    <row r="444">
      <c r="A444" s="1" t="s">
        <v>37</v>
      </c>
      <c r="B444" s="1">
        <v>0.0</v>
      </c>
      <c r="E444" s="1">
        <v>524.01733</v>
      </c>
      <c r="F444" s="1">
        <v>442.0</v>
      </c>
    </row>
    <row r="445">
      <c r="A445" s="1" t="s">
        <v>37</v>
      </c>
      <c r="B445" s="1">
        <v>0.0</v>
      </c>
      <c r="E445" s="1">
        <v>524.595002</v>
      </c>
      <c r="F445" s="1">
        <v>443.0</v>
      </c>
    </row>
    <row r="446">
      <c r="A446" s="1" t="s">
        <v>37</v>
      </c>
      <c r="B446" s="1">
        <v>0.0</v>
      </c>
      <c r="E446" s="1">
        <v>526.932273</v>
      </c>
      <c r="F446" s="1">
        <v>444.0</v>
      </c>
    </row>
    <row r="447">
      <c r="A447" s="1" t="s">
        <v>1038</v>
      </c>
      <c r="B447" s="1">
        <v>1.0</v>
      </c>
      <c r="E447" s="1">
        <v>529.49652</v>
      </c>
      <c r="F447" s="1">
        <v>445.0</v>
      </c>
    </row>
    <row r="448">
      <c r="A448" s="1" t="s">
        <v>37</v>
      </c>
      <c r="B448" s="1">
        <v>0.0</v>
      </c>
      <c r="E448" s="1">
        <v>531.650514</v>
      </c>
      <c r="F448" s="1">
        <v>446.0</v>
      </c>
    </row>
    <row r="449">
      <c r="A449" s="1" t="s">
        <v>1039</v>
      </c>
      <c r="B449" s="1">
        <v>1.0</v>
      </c>
      <c r="E449" s="1">
        <v>532.472801</v>
      </c>
      <c r="F449" s="1">
        <v>447.0</v>
      </c>
    </row>
    <row r="450">
      <c r="A450" s="1" t="s">
        <v>37</v>
      </c>
      <c r="B450" s="1">
        <v>0.0</v>
      </c>
      <c r="E450" s="1">
        <v>532.480853</v>
      </c>
      <c r="F450" s="1">
        <v>448.0</v>
      </c>
    </row>
    <row r="451">
      <c r="A451" s="1" t="s">
        <v>37</v>
      </c>
      <c r="B451" s="1">
        <v>0.0</v>
      </c>
      <c r="E451" s="1">
        <v>534.751121</v>
      </c>
      <c r="F451" s="1">
        <v>449.0</v>
      </c>
    </row>
    <row r="452">
      <c r="A452" s="1" t="s">
        <v>37</v>
      </c>
      <c r="B452" s="1">
        <v>0.0</v>
      </c>
      <c r="E452" s="1">
        <v>535.87747</v>
      </c>
      <c r="F452" s="1">
        <v>450.0</v>
      </c>
    </row>
    <row r="453">
      <c r="A453" s="1" t="s">
        <v>1040</v>
      </c>
      <c r="B453" s="1">
        <v>1.0</v>
      </c>
      <c r="E453" s="1">
        <v>536.441887</v>
      </c>
      <c r="F453" s="1">
        <v>451.0</v>
      </c>
    </row>
    <row r="454">
      <c r="A454" s="1" t="s">
        <v>37</v>
      </c>
      <c r="B454" s="1">
        <v>0.0</v>
      </c>
      <c r="E454" s="1">
        <v>536.999376</v>
      </c>
      <c r="F454" s="1">
        <v>452.0</v>
      </c>
    </row>
    <row r="455">
      <c r="A455" s="1" t="s">
        <v>1041</v>
      </c>
      <c r="B455" s="1">
        <v>1.0</v>
      </c>
      <c r="E455" s="1">
        <v>537.137534</v>
      </c>
      <c r="F455" s="1">
        <v>453.0</v>
      </c>
    </row>
    <row r="456">
      <c r="A456" s="1" t="s">
        <v>1042</v>
      </c>
      <c r="B456" s="1">
        <v>2.0</v>
      </c>
      <c r="E456" s="1">
        <v>537.258974</v>
      </c>
      <c r="F456" s="1">
        <v>454.0</v>
      </c>
    </row>
    <row r="457">
      <c r="A457" s="1" t="s">
        <v>1043</v>
      </c>
      <c r="B457" s="1">
        <v>1.0</v>
      </c>
      <c r="E457" s="1">
        <v>538.750211</v>
      </c>
      <c r="F457" s="1">
        <v>455.0</v>
      </c>
    </row>
    <row r="458">
      <c r="A458" s="1" t="s">
        <v>37</v>
      </c>
      <c r="B458" s="1">
        <v>0.0</v>
      </c>
      <c r="E458" s="1">
        <v>539.251015</v>
      </c>
      <c r="F458" s="1">
        <v>456.0</v>
      </c>
    </row>
    <row r="459">
      <c r="A459" s="1" t="s">
        <v>1044</v>
      </c>
      <c r="B459" s="1">
        <v>1.0</v>
      </c>
      <c r="E459" s="1">
        <v>540.211978</v>
      </c>
      <c r="F459" s="1">
        <v>457.0</v>
      </c>
    </row>
    <row r="460">
      <c r="A460" s="1" t="s">
        <v>37</v>
      </c>
      <c r="B460" s="1">
        <v>0.0</v>
      </c>
      <c r="E460" s="1">
        <v>540.886918</v>
      </c>
      <c r="F460" s="1">
        <v>458.0</v>
      </c>
    </row>
    <row r="461">
      <c r="A461" s="1" t="s">
        <v>1045</v>
      </c>
      <c r="B461" s="1">
        <v>1.0</v>
      </c>
      <c r="E461" s="1">
        <v>542.094372</v>
      </c>
      <c r="F461" s="1">
        <v>459.0</v>
      </c>
    </row>
    <row r="462">
      <c r="A462" s="1" t="s">
        <v>1046</v>
      </c>
      <c r="B462" s="1">
        <v>1.0</v>
      </c>
      <c r="E462" s="1">
        <v>543.514653</v>
      </c>
      <c r="F462" s="1">
        <v>460.0</v>
      </c>
    </row>
    <row r="463">
      <c r="A463" s="1" t="s">
        <v>1047</v>
      </c>
      <c r="B463" s="1">
        <v>1.0</v>
      </c>
      <c r="E463" s="1">
        <v>544.236773</v>
      </c>
      <c r="F463" s="1">
        <v>461.0</v>
      </c>
    </row>
    <row r="464">
      <c r="A464" s="1" t="s">
        <v>1048</v>
      </c>
      <c r="B464" s="1">
        <v>1.0</v>
      </c>
      <c r="E464" s="1">
        <v>545.075091</v>
      </c>
      <c r="F464" s="1">
        <v>462.0</v>
      </c>
    </row>
    <row r="465">
      <c r="A465" s="1" t="s">
        <v>1049</v>
      </c>
      <c r="B465" s="1">
        <v>1.0</v>
      </c>
      <c r="E465" s="1">
        <v>545.143011</v>
      </c>
      <c r="F465" s="1">
        <v>463.0</v>
      </c>
    </row>
    <row r="466">
      <c r="A466" s="1" t="s">
        <v>1050</v>
      </c>
      <c r="B466" s="1">
        <v>2.0</v>
      </c>
      <c r="E466" s="1">
        <v>546.026396</v>
      </c>
      <c r="F466" s="1">
        <v>464.0</v>
      </c>
    </row>
    <row r="467">
      <c r="A467" s="1" t="s">
        <v>37</v>
      </c>
      <c r="B467" s="1">
        <v>0.0</v>
      </c>
      <c r="E467" s="1">
        <v>546.446549</v>
      </c>
      <c r="F467" s="1">
        <v>465.0</v>
      </c>
    </row>
    <row r="468">
      <c r="A468" s="1" t="s">
        <v>1051</v>
      </c>
      <c r="B468" s="1">
        <v>2.0</v>
      </c>
      <c r="E468" s="1">
        <v>547.77301</v>
      </c>
      <c r="F468" s="1">
        <v>466.0</v>
      </c>
    </row>
    <row r="469">
      <c r="A469" s="1" t="s">
        <v>1052</v>
      </c>
      <c r="B469" s="1">
        <v>2.0</v>
      </c>
      <c r="E469" s="1">
        <v>548.053424</v>
      </c>
      <c r="F469" s="1">
        <v>467.0</v>
      </c>
    </row>
    <row r="470">
      <c r="A470" s="1" t="s">
        <v>37</v>
      </c>
      <c r="B470" s="1">
        <v>0.0</v>
      </c>
      <c r="E470" s="1">
        <v>554.450367</v>
      </c>
      <c r="F470" s="1">
        <v>468.0</v>
      </c>
    </row>
    <row r="471">
      <c r="A471" s="1" t="s">
        <v>37</v>
      </c>
      <c r="B471" s="1">
        <v>0.0</v>
      </c>
      <c r="E471" s="1">
        <v>557.479219</v>
      </c>
      <c r="F471" s="1">
        <v>469.0</v>
      </c>
    </row>
    <row r="472">
      <c r="A472" s="1" t="s">
        <v>1053</v>
      </c>
      <c r="B472" s="1">
        <v>1.0</v>
      </c>
      <c r="E472" s="1">
        <v>560.632961</v>
      </c>
      <c r="F472" s="1">
        <v>470.0</v>
      </c>
    </row>
    <row r="473">
      <c r="A473" s="1" t="s">
        <v>37</v>
      </c>
      <c r="B473" s="1">
        <v>0.0</v>
      </c>
      <c r="E473" s="1">
        <v>560.870491</v>
      </c>
      <c r="F473" s="1">
        <v>471.0</v>
      </c>
    </row>
    <row r="474">
      <c r="A474" s="1" t="s">
        <v>1054</v>
      </c>
      <c r="B474" s="1">
        <v>1.0</v>
      </c>
      <c r="E474" s="1">
        <v>561.538132</v>
      </c>
      <c r="F474" s="1">
        <v>472.0</v>
      </c>
    </row>
    <row r="475">
      <c r="A475" s="1" t="s">
        <v>37</v>
      </c>
      <c r="B475" s="1">
        <v>0.0</v>
      </c>
      <c r="E475" s="1">
        <v>563.40209</v>
      </c>
      <c r="F475" s="1">
        <v>473.0</v>
      </c>
    </row>
    <row r="476">
      <c r="A476" s="1" t="s">
        <v>37</v>
      </c>
      <c r="B476" s="1">
        <v>0.0</v>
      </c>
      <c r="E476" s="1">
        <v>564.221103</v>
      </c>
      <c r="F476" s="1">
        <v>474.0</v>
      </c>
    </row>
    <row r="477">
      <c r="A477" s="1" t="s">
        <v>1055</v>
      </c>
      <c r="B477" s="1">
        <v>2.0</v>
      </c>
      <c r="E477" s="1">
        <v>566.156998</v>
      </c>
      <c r="F477" s="1">
        <v>475.0</v>
      </c>
    </row>
    <row r="478">
      <c r="A478" s="1" t="s">
        <v>1056</v>
      </c>
      <c r="B478" s="1">
        <v>1.0</v>
      </c>
      <c r="E478" s="1">
        <v>566.247031</v>
      </c>
      <c r="F478" s="1">
        <v>476.0</v>
      </c>
    </row>
    <row r="479">
      <c r="A479" s="1" t="s">
        <v>1057</v>
      </c>
      <c r="B479" s="1">
        <v>3.0</v>
      </c>
      <c r="E479" s="1">
        <v>566.406318</v>
      </c>
      <c r="F479" s="1">
        <v>477.0</v>
      </c>
    </row>
    <row r="480">
      <c r="A480" s="1" t="s">
        <v>37</v>
      </c>
      <c r="B480" s="1">
        <v>0.0</v>
      </c>
      <c r="E480" s="1">
        <v>566.41501</v>
      </c>
      <c r="F480" s="1">
        <v>478.0</v>
      </c>
    </row>
    <row r="481">
      <c r="A481" s="1" t="s">
        <v>37</v>
      </c>
      <c r="B481" s="1">
        <v>0.0</v>
      </c>
      <c r="E481" s="1">
        <v>571.386615</v>
      </c>
      <c r="F481" s="1">
        <v>479.0</v>
      </c>
    </row>
    <row r="482">
      <c r="A482" s="1" t="s">
        <v>1058</v>
      </c>
      <c r="B482" s="1">
        <v>3.0</v>
      </c>
      <c r="E482" s="1">
        <v>571.842005</v>
      </c>
      <c r="F482" s="1">
        <v>480.0</v>
      </c>
    </row>
    <row r="483">
      <c r="A483" s="1" t="s">
        <v>37</v>
      </c>
      <c r="B483" s="1">
        <v>0.0</v>
      </c>
      <c r="E483" s="1">
        <v>572.854531</v>
      </c>
      <c r="F483" s="1">
        <v>481.0</v>
      </c>
    </row>
    <row r="484">
      <c r="A484" s="1" t="s">
        <v>37</v>
      </c>
      <c r="B484" s="1">
        <v>0.0</v>
      </c>
      <c r="E484" s="1">
        <v>574.981088</v>
      </c>
      <c r="F484" s="1">
        <v>482.0</v>
      </c>
    </row>
    <row r="485">
      <c r="A485" s="1" t="s">
        <v>37</v>
      </c>
      <c r="B485" s="1">
        <v>0.0</v>
      </c>
      <c r="E485" s="1">
        <v>575.422208</v>
      </c>
      <c r="F485" s="1">
        <v>483.0</v>
      </c>
    </row>
    <row r="486">
      <c r="A486" s="1" t="s">
        <v>1059</v>
      </c>
      <c r="B486" s="1">
        <v>1.0</v>
      </c>
      <c r="E486" s="1">
        <v>576.094959</v>
      </c>
      <c r="F486" s="1">
        <v>484.0</v>
      </c>
    </row>
    <row r="487">
      <c r="A487" s="1" t="s">
        <v>37</v>
      </c>
      <c r="B487" s="1">
        <v>0.0</v>
      </c>
      <c r="E487" s="1">
        <v>577.925994</v>
      </c>
      <c r="F487" s="1">
        <v>485.0</v>
      </c>
    </row>
    <row r="488">
      <c r="A488" s="1" t="s">
        <v>1060</v>
      </c>
      <c r="B488" s="1">
        <v>1.0</v>
      </c>
      <c r="E488" s="1">
        <v>579.22843</v>
      </c>
      <c r="F488" s="1">
        <v>486.0</v>
      </c>
    </row>
    <row r="489">
      <c r="A489" s="1" t="s">
        <v>1061</v>
      </c>
      <c r="B489" s="1">
        <v>4.0</v>
      </c>
      <c r="E489" s="1">
        <v>580.310855</v>
      </c>
      <c r="F489" s="1">
        <v>487.0</v>
      </c>
    </row>
    <row r="490">
      <c r="A490" s="1" t="s">
        <v>1062</v>
      </c>
      <c r="B490" s="1">
        <v>1.0</v>
      </c>
      <c r="E490" s="1">
        <v>581.560364</v>
      </c>
      <c r="F490" s="1">
        <v>488.0</v>
      </c>
    </row>
    <row r="491">
      <c r="A491" s="1" t="s">
        <v>1063</v>
      </c>
      <c r="B491" s="1">
        <v>1.0</v>
      </c>
      <c r="E491" s="1">
        <v>581.78025</v>
      </c>
      <c r="F491" s="1">
        <v>489.0</v>
      </c>
    </row>
    <row r="492">
      <c r="A492" s="1" t="s">
        <v>1064</v>
      </c>
      <c r="B492" s="1">
        <v>4.0</v>
      </c>
      <c r="E492" s="1">
        <v>582.843433</v>
      </c>
      <c r="F492" s="1">
        <v>490.0</v>
      </c>
    </row>
    <row r="493">
      <c r="A493" s="1" t="s">
        <v>1065</v>
      </c>
      <c r="B493" s="1">
        <v>1.0</v>
      </c>
      <c r="E493" s="1">
        <v>583.515902</v>
      </c>
      <c r="F493" s="1">
        <v>491.0</v>
      </c>
    </row>
    <row r="494">
      <c r="A494" s="1" t="s">
        <v>37</v>
      </c>
      <c r="B494" s="1">
        <v>0.0</v>
      </c>
      <c r="E494" s="1">
        <v>583.887284</v>
      </c>
      <c r="F494" s="1">
        <v>492.0</v>
      </c>
    </row>
    <row r="495">
      <c r="A495" s="1" t="s">
        <v>37</v>
      </c>
      <c r="B495" s="1">
        <v>0.0</v>
      </c>
      <c r="E495" s="1">
        <v>584.25769</v>
      </c>
      <c r="F495" s="1">
        <v>493.0</v>
      </c>
    </row>
    <row r="496">
      <c r="A496" s="1" t="s">
        <v>1066</v>
      </c>
      <c r="B496" s="1">
        <v>1.0</v>
      </c>
      <c r="E496" s="1">
        <v>584.42295</v>
      </c>
      <c r="F496" s="1">
        <v>494.0</v>
      </c>
    </row>
    <row r="497">
      <c r="A497" s="1" t="s">
        <v>37</v>
      </c>
      <c r="B497" s="1">
        <v>0.0</v>
      </c>
      <c r="E497" s="1">
        <v>585.528895</v>
      </c>
      <c r="F497" s="1">
        <v>495.0</v>
      </c>
    </row>
    <row r="498">
      <c r="A498" s="1" t="s">
        <v>37</v>
      </c>
      <c r="B498" s="1">
        <v>0.0</v>
      </c>
      <c r="E498" s="1">
        <v>585.941081</v>
      </c>
      <c r="F498" s="1">
        <v>496.0</v>
      </c>
    </row>
    <row r="499">
      <c r="A499" s="1" t="s">
        <v>1067</v>
      </c>
      <c r="B499" s="1">
        <v>1.0</v>
      </c>
      <c r="E499" s="1">
        <v>587.11709</v>
      </c>
      <c r="F499" s="1">
        <v>497.0</v>
      </c>
    </row>
    <row r="500">
      <c r="A500" s="1" t="s">
        <v>37</v>
      </c>
      <c r="B500" s="1">
        <v>0.0</v>
      </c>
      <c r="E500" s="1">
        <v>587.619067</v>
      </c>
      <c r="F500" s="1">
        <v>498.0</v>
      </c>
    </row>
    <row r="501">
      <c r="A501" s="1" t="s">
        <v>1068</v>
      </c>
      <c r="B501" s="1">
        <v>1.0</v>
      </c>
      <c r="E501" s="1">
        <v>588.194692</v>
      </c>
      <c r="F501" s="1">
        <v>499.0</v>
      </c>
    </row>
    <row r="502">
      <c r="A502" s="1" t="s">
        <v>37</v>
      </c>
      <c r="B502" s="1">
        <v>0.0</v>
      </c>
      <c r="E502" s="1">
        <v>588.936695</v>
      </c>
      <c r="F502" s="1">
        <v>500.0</v>
      </c>
    </row>
    <row r="503">
      <c r="A503" s="1" t="s">
        <v>1069</v>
      </c>
      <c r="B503" s="1">
        <v>2.0</v>
      </c>
      <c r="E503" s="1">
        <v>590.153554</v>
      </c>
      <c r="F503" s="1">
        <v>501.0</v>
      </c>
    </row>
    <row r="504">
      <c r="A504" s="1" t="s">
        <v>1070</v>
      </c>
      <c r="B504" s="1">
        <v>1.0</v>
      </c>
      <c r="E504" s="1">
        <v>591.509112</v>
      </c>
      <c r="F504" s="1">
        <v>502.0</v>
      </c>
    </row>
    <row r="505">
      <c r="A505" s="1" t="s">
        <v>37</v>
      </c>
      <c r="B505" s="1">
        <v>0.0</v>
      </c>
      <c r="E505" s="1">
        <v>593.922646</v>
      </c>
      <c r="F505" s="1">
        <v>503.0</v>
      </c>
    </row>
    <row r="506">
      <c r="A506" s="1" t="s">
        <v>1071</v>
      </c>
      <c r="B506" s="1">
        <v>2.0</v>
      </c>
      <c r="E506" s="1">
        <v>597.706535</v>
      </c>
      <c r="F506" s="1">
        <v>504.0</v>
      </c>
    </row>
    <row r="507">
      <c r="A507" s="1" t="s">
        <v>1072</v>
      </c>
      <c r="B507" s="1">
        <v>1.0</v>
      </c>
      <c r="E507" s="1">
        <v>597.816138</v>
      </c>
      <c r="F507" s="1">
        <v>505.0</v>
      </c>
    </row>
    <row r="508">
      <c r="A508" s="1" t="s">
        <v>37</v>
      </c>
      <c r="B508" s="1">
        <v>0.0</v>
      </c>
      <c r="E508" s="1">
        <v>598.339695</v>
      </c>
      <c r="F508" s="1">
        <v>506.0</v>
      </c>
    </row>
    <row r="509">
      <c r="A509" s="1" t="s">
        <v>1073</v>
      </c>
      <c r="B509" s="1">
        <v>1.0</v>
      </c>
      <c r="E509" s="1">
        <v>598.523618</v>
      </c>
      <c r="F509" s="1">
        <v>507.0</v>
      </c>
    </row>
    <row r="510">
      <c r="A510" s="1" t="s">
        <v>37</v>
      </c>
      <c r="B510" s="1">
        <v>0.0</v>
      </c>
      <c r="E510" s="1">
        <v>599.670357</v>
      </c>
      <c r="F510" s="1">
        <v>508.0</v>
      </c>
    </row>
    <row r="511">
      <c r="A511" s="1" t="s">
        <v>1074</v>
      </c>
      <c r="B511" s="1">
        <v>1.0</v>
      </c>
      <c r="E511" s="1">
        <v>601.013513</v>
      </c>
      <c r="F511" s="1">
        <v>509.0</v>
      </c>
    </row>
    <row r="512">
      <c r="A512" s="1" t="s">
        <v>1075</v>
      </c>
      <c r="B512" s="1">
        <v>1.0</v>
      </c>
    </row>
    <row r="513">
      <c r="A513" s="1" t="s">
        <v>37</v>
      </c>
      <c r="B513" s="1">
        <v>0.0</v>
      </c>
    </row>
    <row r="514">
      <c r="A514" s="1" t="s">
        <v>1076</v>
      </c>
      <c r="B514" s="1">
        <v>1.0</v>
      </c>
    </row>
    <row r="515">
      <c r="A515" s="1" t="s">
        <v>37</v>
      </c>
      <c r="B515" s="1">
        <v>0.0</v>
      </c>
    </row>
    <row r="516">
      <c r="A516" s="1" t="s">
        <v>1077</v>
      </c>
      <c r="B516" s="1">
        <v>1.0</v>
      </c>
    </row>
    <row r="517">
      <c r="A517" s="1" t="s">
        <v>1078</v>
      </c>
      <c r="B517" s="1">
        <v>1.0</v>
      </c>
    </row>
    <row r="518">
      <c r="A518" s="1" t="s">
        <v>37</v>
      </c>
      <c r="B518" s="1">
        <v>0.0</v>
      </c>
    </row>
    <row r="519">
      <c r="A519" s="1" t="s">
        <v>1079</v>
      </c>
      <c r="B519" s="1">
        <v>1.0</v>
      </c>
    </row>
    <row r="520">
      <c r="A520" s="1" t="s">
        <v>1080</v>
      </c>
      <c r="B520" s="1">
        <v>2.0</v>
      </c>
    </row>
    <row r="521">
      <c r="A521" s="1" t="s">
        <v>37</v>
      </c>
      <c r="B521" s="1">
        <v>0.0</v>
      </c>
    </row>
    <row r="522">
      <c r="A522" s="1" t="s">
        <v>1081</v>
      </c>
      <c r="B522" s="1">
        <v>3.0</v>
      </c>
    </row>
    <row r="523">
      <c r="A523" s="1" t="s">
        <v>37</v>
      </c>
      <c r="B523" s="1">
        <v>0.0</v>
      </c>
    </row>
    <row r="524">
      <c r="A524" s="1" t="s">
        <v>1082</v>
      </c>
      <c r="B524" s="1">
        <v>1.0</v>
      </c>
    </row>
    <row r="525">
      <c r="A525" s="1" t="s">
        <v>1083</v>
      </c>
      <c r="B525" s="1">
        <v>2.0</v>
      </c>
    </row>
    <row r="526">
      <c r="A526" s="1" t="s">
        <v>37</v>
      </c>
      <c r="B526" s="1">
        <v>0.0</v>
      </c>
    </row>
    <row r="527">
      <c r="A527" s="1" t="s">
        <v>1084</v>
      </c>
      <c r="B527" s="1">
        <v>1.0</v>
      </c>
    </row>
    <row r="528">
      <c r="A528" s="1" t="s">
        <v>37</v>
      </c>
      <c r="B528" s="1">
        <v>0.0</v>
      </c>
    </row>
    <row r="529">
      <c r="A529" s="1" t="s">
        <v>37</v>
      </c>
      <c r="B529" s="1">
        <v>0.0</v>
      </c>
    </row>
    <row r="530">
      <c r="A530" s="1" t="s">
        <v>1085</v>
      </c>
      <c r="B530" s="1">
        <v>1.0</v>
      </c>
    </row>
    <row r="531">
      <c r="A531" s="1" t="s">
        <v>37</v>
      </c>
      <c r="B531" s="1">
        <v>0.0</v>
      </c>
    </row>
    <row r="532">
      <c r="A532" s="1" t="s">
        <v>1086</v>
      </c>
      <c r="B532" s="1">
        <v>1.0</v>
      </c>
    </row>
    <row r="533">
      <c r="A533" s="1" t="s">
        <v>1087</v>
      </c>
      <c r="B533" s="1">
        <v>2.0</v>
      </c>
    </row>
    <row r="534">
      <c r="A534" s="1" t="s">
        <v>37</v>
      </c>
      <c r="B534" s="1">
        <v>0.0</v>
      </c>
    </row>
    <row r="535">
      <c r="A535" s="1" t="s">
        <v>1088</v>
      </c>
      <c r="B535" s="1">
        <v>1.0</v>
      </c>
    </row>
    <row r="536">
      <c r="A536" s="1" t="s">
        <v>1089</v>
      </c>
      <c r="B536" s="1">
        <v>1.0</v>
      </c>
    </row>
    <row r="537">
      <c r="A537" s="1" t="s">
        <v>1090</v>
      </c>
      <c r="B537" s="1">
        <v>2.0</v>
      </c>
    </row>
    <row r="538">
      <c r="A538" s="1" t="s">
        <v>1091</v>
      </c>
      <c r="B538" s="1">
        <v>2.0</v>
      </c>
    </row>
    <row r="539">
      <c r="A539" s="1" t="s">
        <v>1092</v>
      </c>
      <c r="B539" s="1">
        <v>1.0</v>
      </c>
    </row>
    <row r="540">
      <c r="A540" s="1" t="s">
        <v>1093</v>
      </c>
      <c r="B540" s="1">
        <v>1.0</v>
      </c>
    </row>
    <row r="541">
      <c r="A541" s="1" t="s">
        <v>1094</v>
      </c>
      <c r="B541" s="1">
        <v>2.0</v>
      </c>
    </row>
    <row r="542">
      <c r="A542" s="1" t="s">
        <v>37</v>
      </c>
      <c r="B542" s="1">
        <v>0.0</v>
      </c>
    </row>
    <row r="543">
      <c r="A543" s="1" t="s">
        <v>1095</v>
      </c>
      <c r="B543" s="1">
        <v>1.0</v>
      </c>
    </row>
    <row r="544">
      <c r="A544" s="1" t="s">
        <v>1096</v>
      </c>
      <c r="B544" s="1">
        <v>1.0</v>
      </c>
    </row>
    <row r="545">
      <c r="A545" s="1" t="s">
        <v>1097</v>
      </c>
      <c r="B545" s="1">
        <v>1.0</v>
      </c>
    </row>
    <row r="546">
      <c r="A546" s="1" t="s">
        <v>1098</v>
      </c>
      <c r="B546" s="1">
        <v>2.0</v>
      </c>
    </row>
    <row r="547">
      <c r="A547" s="1" t="s">
        <v>1099</v>
      </c>
      <c r="B547" s="1">
        <v>2.0</v>
      </c>
    </row>
    <row r="548">
      <c r="A548" s="1" t="s">
        <v>1100</v>
      </c>
      <c r="B548" s="1">
        <v>1.0</v>
      </c>
    </row>
    <row r="549">
      <c r="A549" s="1" t="s">
        <v>1101</v>
      </c>
      <c r="B549" s="1">
        <v>1.0</v>
      </c>
    </row>
    <row r="550">
      <c r="A550" s="1" t="s">
        <v>37</v>
      </c>
      <c r="B550" s="1">
        <v>0.0</v>
      </c>
    </row>
    <row r="551">
      <c r="A551" s="1" t="s">
        <v>37</v>
      </c>
      <c r="B551" s="1">
        <v>0.0</v>
      </c>
      <c r="E551" s="1"/>
      <c r="F551" s="1"/>
    </row>
    <row r="552">
      <c r="A552" s="1" t="s">
        <v>37</v>
      </c>
      <c r="B552" s="1">
        <v>0.0</v>
      </c>
      <c r="E552" s="1"/>
      <c r="F552" s="1"/>
    </row>
    <row r="553">
      <c r="A553" s="1" t="s">
        <v>37</v>
      </c>
      <c r="B553" s="1">
        <v>0.0</v>
      </c>
      <c r="E553" s="1"/>
      <c r="F553" s="1"/>
    </row>
    <row r="554">
      <c r="A554" s="1" t="s">
        <v>37</v>
      </c>
      <c r="B554" s="1">
        <v>0.0</v>
      </c>
      <c r="E554" s="1"/>
      <c r="F554" s="1"/>
    </row>
    <row r="555">
      <c r="A555" s="1" t="s">
        <v>1102</v>
      </c>
      <c r="B555" s="1">
        <v>1.0</v>
      </c>
      <c r="E555" s="1"/>
      <c r="F555" s="1"/>
    </row>
    <row r="556">
      <c r="A556" s="1" t="s">
        <v>37</v>
      </c>
      <c r="B556" s="1">
        <v>0.0</v>
      </c>
      <c r="E556" s="1"/>
      <c r="F556" s="1"/>
    </row>
    <row r="557">
      <c r="A557" s="1" t="s">
        <v>890</v>
      </c>
      <c r="B557" s="1">
        <v>1.0</v>
      </c>
      <c r="E557" s="1"/>
      <c r="F557" s="1"/>
    </row>
    <row r="558">
      <c r="A558" s="1" t="s">
        <v>1103</v>
      </c>
      <c r="B558" s="1">
        <v>1.0</v>
      </c>
      <c r="E558" s="1"/>
      <c r="F558" s="1"/>
    </row>
    <row r="559">
      <c r="A559" s="1" t="s">
        <v>37</v>
      </c>
      <c r="B559" s="1">
        <v>0.0</v>
      </c>
      <c r="E559" s="1"/>
      <c r="F559" s="1"/>
    </row>
    <row r="560">
      <c r="A560" s="1" t="s">
        <v>37</v>
      </c>
      <c r="B560" s="1">
        <v>0.0</v>
      </c>
      <c r="E560" s="1"/>
      <c r="F560" s="1"/>
    </row>
    <row r="561">
      <c r="A561" s="1" t="s">
        <v>1104</v>
      </c>
      <c r="B561" s="1">
        <v>2.0</v>
      </c>
      <c r="E561" s="1"/>
      <c r="F561" s="1"/>
    </row>
    <row r="562">
      <c r="A562" s="1" t="s">
        <v>1105</v>
      </c>
      <c r="B562" s="1">
        <v>1.0</v>
      </c>
      <c r="E562" s="1"/>
      <c r="F562" s="1"/>
    </row>
    <row r="563">
      <c r="A563" s="1" t="s">
        <v>37</v>
      </c>
      <c r="B563" s="1">
        <v>0.0</v>
      </c>
      <c r="E563" s="1"/>
      <c r="F563" s="1"/>
    </row>
    <row r="564">
      <c r="A564" s="1" t="s">
        <v>1106</v>
      </c>
      <c r="B564" s="1">
        <v>1.0</v>
      </c>
      <c r="E564" s="1"/>
      <c r="F564" s="1"/>
    </row>
    <row r="565">
      <c r="A565" s="1" t="s">
        <v>1107</v>
      </c>
      <c r="B565" s="1">
        <v>1.0</v>
      </c>
      <c r="E565" s="1"/>
      <c r="F565" s="1"/>
    </row>
    <row r="566">
      <c r="A566" s="1" t="s">
        <v>37</v>
      </c>
      <c r="B566" s="1">
        <v>0.0</v>
      </c>
      <c r="E566" s="1"/>
      <c r="F566" s="1"/>
    </row>
    <row r="567">
      <c r="A567" s="1" t="s">
        <v>1108</v>
      </c>
      <c r="B567" s="1">
        <v>5.0</v>
      </c>
      <c r="E567" s="1"/>
      <c r="F567" s="1"/>
    </row>
    <row r="568">
      <c r="A568" s="1" t="s">
        <v>37</v>
      </c>
      <c r="B568" s="1">
        <v>0.0</v>
      </c>
      <c r="E568" s="1"/>
      <c r="F568" s="1"/>
    </row>
    <row r="569">
      <c r="A569" s="1" t="s">
        <v>37</v>
      </c>
      <c r="B569" s="1">
        <v>0.0</v>
      </c>
      <c r="E569" s="1"/>
      <c r="F569" s="1"/>
    </row>
    <row r="570">
      <c r="A570" s="1" t="s">
        <v>37</v>
      </c>
      <c r="B570" s="1">
        <v>0.0</v>
      </c>
      <c r="E570" s="1"/>
      <c r="F570" s="1"/>
    </row>
    <row r="571">
      <c r="A571" s="1" t="s">
        <v>37</v>
      </c>
      <c r="B571" s="1">
        <v>0.0</v>
      </c>
      <c r="E571" s="1"/>
      <c r="F571" s="1"/>
    </row>
    <row r="572">
      <c r="A572" s="1" t="s">
        <v>1109</v>
      </c>
      <c r="B572" s="1">
        <v>2.0</v>
      </c>
      <c r="E572" s="1"/>
      <c r="F572" s="1"/>
    </row>
    <row r="573">
      <c r="A573" s="1" t="s">
        <v>1110</v>
      </c>
      <c r="B573" s="1">
        <v>1.0</v>
      </c>
      <c r="E573" s="1"/>
      <c r="F573" s="1"/>
    </row>
    <row r="574">
      <c r="A574" s="1" t="s">
        <v>37</v>
      </c>
      <c r="B574" s="1">
        <v>0.0</v>
      </c>
      <c r="E574" s="1"/>
      <c r="F574" s="1"/>
    </row>
    <row r="575">
      <c r="A575" s="1" t="s">
        <v>1111</v>
      </c>
      <c r="B575" s="1">
        <v>1.0</v>
      </c>
    </row>
    <row r="576">
      <c r="A576" s="1" t="s">
        <v>1112</v>
      </c>
      <c r="B576" s="1">
        <v>1.0</v>
      </c>
    </row>
    <row r="577">
      <c r="A577" s="1" t="s">
        <v>1113</v>
      </c>
      <c r="B577" s="1">
        <v>1.0</v>
      </c>
    </row>
    <row r="578">
      <c r="A578" s="1" t="s">
        <v>1114</v>
      </c>
      <c r="B578" s="1">
        <v>1.0</v>
      </c>
    </row>
    <row r="579">
      <c r="A579" s="1" t="s">
        <v>37</v>
      </c>
      <c r="B579" s="1">
        <v>0.0</v>
      </c>
    </row>
    <row r="580">
      <c r="A580" s="1" t="s">
        <v>1115</v>
      </c>
      <c r="B580" s="1">
        <v>1.0</v>
      </c>
    </row>
    <row r="581">
      <c r="A581" s="1" t="s">
        <v>1116</v>
      </c>
      <c r="B581" s="1">
        <v>1.0</v>
      </c>
    </row>
    <row r="582">
      <c r="A582" s="1" t="s">
        <v>1117</v>
      </c>
      <c r="B582" s="1">
        <v>2.0</v>
      </c>
    </row>
    <row r="583">
      <c r="A583" s="1" t="s">
        <v>1118</v>
      </c>
      <c r="B583" s="1">
        <v>1.0</v>
      </c>
    </row>
    <row r="584">
      <c r="A584" s="1" t="s">
        <v>1119</v>
      </c>
      <c r="B584" s="1">
        <v>2.0</v>
      </c>
    </row>
    <row r="585">
      <c r="A585" s="1" t="s">
        <v>1120</v>
      </c>
      <c r="B585" s="1">
        <v>2.0</v>
      </c>
    </row>
    <row r="586">
      <c r="A586" s="1" t="s">
        <v>1121</v>
      </c>
      <c r="B586" s="1">
        <v>2.0</v>
      </c>
    </row>
    <row r="587">
      <c r="A587" s="1" t="s">
        <v>37</v>
      </c>
      <c r="B587" s="1">
        <v>0.0</v>
      </c>
    </row>
    <row r="588">
      <c r="A588" s="1" t="s">
        <v>1122</v>
      </c>
      <c r="B588" s="1">
        <v>2.0</v>
      </c>
    </row>
    <row r="589">
      <c r="A589" s="1" t="s">
        <v>1123</v>
      </c>
      <c r="B589" s="1">
        <v>2.0</v>
      </c>
    </row>
    <row r="590">
      <c r="A590" s="1" t="s">
        <v>37</v>
      </c>
      <c r="B590" s="1">
        <v>0.0</v>
      </c>
    </row>
    <row r="591">
      <c r="A591" s="1" t="s">
        <v>1124</v>
      </c>
      <c r="B591" s="1">
        <v>1.0</v>
      </c>
    </row>
    <row r="592">
      <c r="A592" s="1" t="s">
        <v>1125</v>
      </c>
      <c r="B592" s="1">
        <v>1.0</v>
      </c>
    </row>
    <row r="593">
      <c r="A593" s="1" t="s">
        <v>37</v>
      </c>
      <c r="B593" s="1">
        <v>0.0</v>
      </c>
    </row>
    <row r="594">
      <c r="A594" s="1" t="s">
        <v>1126</v>
      </c>
      <c r="B594" s="1">
        <v>1.0</v>
      </c>
    </row>
    <row r="595">
      <c r="A595" s="1" t="s">
        <v>37</v>
      </c>
      <c r="B595" s="1">
        <v>0.0</v>
      </c>
    </row>
    <row r="596">
      <c r="A596" s="1" t="s">
        <v>37</v>
      </c>
      <c r="B596" s="1">
        <v>0.0</v>
      </c>
    </row>
    <row r="597">
      <c r="A597" s="1" t="s">
        <v>37</v>
      </c>
      <c r="B597" s="1">
        <v>0.0</v>
      </c>
    </row>
    <row r="598">
      <c r="A598" s="1" t="s">
        <v>1127</v>
      </c>
      <c r="B598" s="1">
        <v>2.0</v>
      </c>
    </row>
    <row r="599">
      <c r="A599" s="1" t="s">
        <v>1128</v>
      </c>
      <c r="B599" s="1">
        <v>2.0</v>
      </c>
    </row>
    <row r="600">
      <c r="A600" s="1" t="s">
        <v>1129</v>
      </c>
      <c r="B600" s="1">
        <v>1.0</v>
      </c>
    </row>
    <row r="601">
      <c r="A601" s="1" t="s">
        <v>37</v>
      </c>
      <c r="B601" s="1">
        <v>0.0</v>
      </c>
    </row>
    <row r="602">
      <c r="A602" s="1" t="s">
        <v>1130</v>
      </c>
      <c r="B602" s="1">
        <v>1.0</v>
      </c>
    </row>
    <row r="603">
      <c r="A603" s="1" t="s">
        <v>37</v>
      </c>
      <c r="B603" s="1">
        <v>0.0</v>
      </c>
    </row>
    <row r="604">
      <c r="A604" s="1" t="s">
        <v>1131</v>
      </c>
      <c r="B604" s="1">
        <v>1.0</v>
      </c>
    </row>
    <row r="605">
      <c r="A605" s="1" t="s">
        <v>37</v>
      </c>
      <c r="B605" s="1">
        <v>0.0</v>
      </c>
    </row>
    <row r="606">
      <c r="A606" s="1" t="s">
        <v>37</v>
      </c>
      <c r="B606" s="1">
        <v>0.0</v>
      </c>
    </row>
    <row r="607">
      <c r="A607" s="1" t="s">
        <v>37</v>
      </c>
      <c r="B607" s="1">
        <v>0.0</v>
      </c>
    </row>
    <row r="608">
      <c r="A608" s="1" t="s">
        <v>1132</v>
      </c>
      <c r="B608" s="1">
        <v>1.0</v>
      </c>
    </row>
    <row r="609">
      <c r="A609" s="1" t="s">
        <v>37</v>
      </c>
      <c r="B609" s="1">
        <v>0.0</v>
      </c>
    </row>
    <row r="610">
      <c r="A610" s="1" t="s">
        <v>37</v>
      </c>
      <c r="B610" s="1">
        <v>0.0</v>
      </c>
    </row>
    <row r="611">
      <c r="A611" s="1" t="s">
        <v>1133</v>
      </c>
      <c r="B611" s="1">
        <v>1.0</v>
      </c>
    </row>
    <row r="612">
      <c r="A612" s="1" t="s">
        <v>1134</v>
      </c>
      <c r="B612" s="1">
        <v>2.0</v>
      </c>
    </row>
    <row r="613">
      <c r="A613" s="1" t="s">
        <v>1135</v>
      </c>
      <c r="B613" s="1">
        <v>1.0</v>
      </c>
    </row>
    <row r="614">
      <c r="A614" s="1" t="s">
        <v>1136</v>
      </c>
      <c r="B614" s="1">
        <v>2.0</v>
      </c>
    </row>
    <row r="615">
      <c r="A615" s="1" t="s">
        <v>37</v>
      </c>
      <c r="B615" s="1">
        <v>0.0</v>
      </c>
    </row>
    <row r="616">
      <c r="A616" s="1" t="s">
        <v>37</v>
      </c>
      <c r="B616" s="1">
        <v>0.0</v>
      </c>
    </row>
    <row r="617">
      <c r="A617" s="1" t="s">
        <v>1137</v>
      </c>
      <c r="B617" s="1">
        <v>1.0</v>
      </c>
    </row>
    <row r="618">
      <c r="A618" s="1" t="s">
        <v>1138</v>
      </c>
      <c r="B618" s="1">
        <v>1.0</v>
      </c>
    </row>
    <row r="619">
      <c r="A619" s="1" t="s">
        <v>1139</v>
      </c>
      <c r="B619" s="1">
        <v>1.0</v>
      </c>
    </row>
    <row r="620">
      <c r="A620" s="1" t="s">
        <v>37</v>
      </c>
      <c r="B620" s="1">
        <v>0.0</v>
      </c>
    </row>
    <row r="621">
      <c r="A621" s="1" t="s">
        <v>1140</v>
      </c>
      <c r="B621" s="1">
        <v>2.0</v>
      </c>
    </row>
    <row r="622">
      <c r="A622" s="1" t="s">
        <v>1141</v>
      </c>
      <c r="B622" s="1">
        <v>1.0</v>
      </c>
    </row>
    <row r="623">
      <c r="A623" s="1" t="s">
        <v>1142</v>
      </c>
      <c r="B623" s="1">
        <v>1.0</v>
      </c>
    </row>
    <row r="624">
      <c r="A624" s="1" t="s">
        <v>37</v>
      </c>
      <c r="B624" s="1">
        <v>0.0</v>
      </c>
    </row>
    <row r="625">
      <c r="A625" s="1" t="s">
        <v>37</v>
      </c>
      <c r="B625" s="1">
        <v>0.0</v>
      </c>
    </row>
    <row r="626">
      <c r="A626" s="1" t="s">
        <v>1143</v>
      </c>
      <c r="B626" s="1">
        <v>1.0</v>
      </c>
    </row>
    <row r="627">
      <c r="A627" s="1" t="s">
        <v>37</v>
      </c>
      <c r="B627" s="1">
        <v>0.0</v>
      </c>
    </row>
    <row r="628">
      <c r="A628" s="1" t="s">
        <v>1144</v>
      </c>
      <c r="B628" s="1">
        <v>1.0</v>
      </c>
    </row>
    <row r="629">
      <c r="A629" s="7" t="s">
        <v>1145</v>
      </c>
      <c r="B629" s="1">
        <v>3.0</v>
      </c>
    </row>
    <row r="630">
      <c r="A630" s="1" t="s">
        <v>1146</v>
      </c>
      <c r="B630" s="1">
        <v>1.0</v>
      </c>
    </row>
    <row r="631">
      <c r="A631" s="1" t="s">
        <v>37</v>
      </c>
      <c r="B631" s="1">
        <v>0.0</v>
      </c>
    </row>
    <row r="632">
      <c r="A632" s="1" t="s">
        <v>37</v>
      </c>
      <c r="B632" s="1">
        <v>0.0</v>
      </c>
    </row>
    <row r="633">
      <c r="A633" s="1" t="s">
        <v>37</v>
      </c>
      <c r="B633" s="1">
        <v>0.0</v>
      </c>
    </row>
    <row r="634">
      <c r="A634" s="1" t="s">
        <v>1147</v>
      </c>
      <c r="B634" s="1">
        <v>2.0</v>
      </c>
    </row>
    <row r="635">
      <c r="A635" s="1" t="s">
        <v>1148</v>
      </c>
      <c r="B635" s="1">
        <v>2.0</v>
      </c>
    </row>
    <row r="636">
      <c r="A636" s="1" t="s">
        <v>37</v>
      </c>
      <c r="B636" s="1">
        <v>0.0</v>
      </c>
    </row>
    <row r="637">
      <c r="A637" s="1" t="s">
        <v>1149</v>
      </c>
      <c r="B637" s="1">
        <v>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1150</v>
      </c>
      <c r="B1" s="8" t="s">
        <v>9</v>
      </c>
    </row>
    <row r="2">
      <c r="A2" s="9">
        <f>AVERAGE('t=10min'!G3,'t=5min'!G3,'t=3min'!G3,'t=2min'!G3,'t=1min'!I3)</f>
        <v>0.5491111111</v>
      </c>
      <c r="B2" s="9">
        <f> SQRT('t=10min'!E333+'t=5min'!E167+'t=3min'!E113+'t=2min'!E69+'t=1min'!E28)/1260</f>
        <v>0.02107288579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7.13"/>
    <col customWidth="1" min="5" max="5" width="15.88"/>
    <col customWidth="1" min="7" max="7" width="14.75"/>
    <col customWidth="1" min="8" max="8" width="13.63"/>
    <col customWidth="1" min="9" max="9" width="17.38"/>
    <col customWidth="1" min="11" max="11" width="17.88"/>
  </cols>
  <sheetData>
    <row r="1" ht="23.25" customHeight="1">
      <c r="A1" s="10" t="s">
        <v>1151</v>
      </c>
      <c r="B1" s="11" t="s">
        <v>1152</v>
      </c>
      <c r="C1" s="11" t="s">
        <v>1153</v>
      </c>
      <c r="D1" s="11" t="s">
        <v>1154</v>
      </c>
      <c r="E1" s="12" t="s">
        <v>1155</v>
      </c>
      <c r="G1" s="13" t="s">
        <v>1156</v>
      </c>
      <c r="H1" s="14" t="s">
        <v>1157</v>
      </c>
      <c r="I1" s="15" t="s">
        <v>1158</v>
      </c>
    </row>
    <row r="2">
      <c r="A2" s="16">
        <v>1.0</v>
      </c>
      <c r="B2" s="1">
        <v>0.65</v>
      </c>
      <c r="C2" s="1">
        <v>0.917</v>
      </c>
      <c r="D2" s="5">
        <f t="shared" ref="D2:E2" si="1">SQRT((B2)*(1-B2)/60)</f>
        <v>0.06157651067</v>
      </c>
      <c r="E2" s="17">
        <f t="shared" si="1"/>
        <v>0.03561624161</v>
      </c>
      <c r="G2" s="18" t="s">
        <v>1159</v>
      </c>
      <c r="H2" s="19">
        <v>60.0</v>
      </c>
      <c r="I2" s="20">
        <v>27.0</v>
      </c>
    </row>
    <row r="3">
      <c r="A3" s="16">
        <v>2.0</v>
      </c>
      <c r="B3" s="1">
        <v>0.35</v>
      </c>
      <c r="C3" s="1">
        <v>0.7</v>
      </c>
      <c r="D3" s="5">
        <f t="shared" ref="D3:E3" si="2">SQRT((B3)*(1-B3)/60)</f>
        <v>0.06157651067</v>
      </c>
      <c r="E3" s="17">
        <f t="shared" si="2"/>
        <v>0.05916079783</v>
      </c>
      <c r="G3" s="18" t="s">
        <v>1160</v>
      </c>
      <c r="H3" s="19">
        <v>300.0</v>
      </c>
      <c r="I3" s="20">
        <v>166.0</v>
      </c>
    </row>
    <row r="4">
      <c r="A4" s="16">
        <v>3.0</v>
      </c>
      <c r="B4" s="1">
        <v>0.133</v>
      </c>
      <c r="C4" s="1">
        <v>0.483</v>
      </c>
      <c r="D4" s="5">
        <f t="shared" ref="D4:E4" si="3">SQRT((B4)*(1-B4)/60)</f>
        <v>0.04383890966</v>
      </c>
      <c r="E4" s="17">
        <f t="shared" si="3"/>
        <v>0.06451240191</v>
      </c>
      <c r="G4" s="21" t="s">
        <v>1161</v>
      </c>
      <c r="H4" s="22">
        <v>1260.0</v>
      </c>
      <c r="I4" s="23">
        <v>705.0</v>
      </c>
    </row>
    <row r="5">
      <c r="A5" s="16">
        <v>5.0</v>
      </c>
      <c r="B5" s="24">
        <v>0.1</v>
      </c>
      <c r="C5" s="1">
        <v>0.217</v>
      </c>
      <c r="D5" s="5">
        <f t="shared" ref="D5:E5" si="4">SQRT((B5)*(1-B5)/60)</f>
        <v>0.03872983346</v>
      </c>
      <c r="E5" s="17">
        <f t="shared" si="4"/>
        <v>0.05321512943</v>
      </c>
      <c r="G5" s="25"/>
      <c r="H5" s="25"/>
      <c r="I5" s="25"/>
    </row>
    <row r="6">
      <c r="A6" s="26">
        <v>10.0</v>
      </c>
      <c r="B6" s="27">
        <v>0.017</v>
      </c>
      <c r="C6" s="27">
        <v>0.017</v>
      </c>
      <c r="D6" s="28">
        <f t="shared" ref="D6:E6" si="5">SQRT((B6)*(1-B6)/60)</f>
        <v>0.01668881861</v>
      </c>
      <c r="E6" s="29">
        <f t="shared" si="5"/>
        <v>0.01668881861</v>
      </c>
      <c r="F6" s="19"/>
      <c r="G6" s="19"/>
      <c r="H6" s="19"/>
      <c r="I6" s="19"/>
      <c r="J6" s="19"/>
    </row>
    <row r="7">
      <c r="F7" s="19"/>
      <c r="G7" s="19"/>
      <c r="H7" s="19"/>
      <c r="I7" s="19"/>
      <c r="J7" s="19"/>
    </row>
    <row r="8" ht="24.0" customHeight="1">
      <c r="A8" s="13" t="s">
        <v>1162</v>
      </c>
      <c r="B8" s="14" t="s">
        <v>1163</v>
      </c>
      <c r="C8" s="14" t="s">
        <v>1164</v>
      </c>
      <c r="D8" s="15" t="s">
        <v>1165</v>
      </c>
      <c r="E8" s="25"/>
      <c r="F8" s="19"/>
      <c r="G8" s="13" t="s">
        <v>1162</v>
      </c>
      <c r="H8" s="14" t="s">
        <v>1166</v>
      </c>
      <c r="I8" s="14" t="s">
        <v>1167</v>
      </c>
      <c r="J8" s="14" t="s">
        <v>1168</v>
      </c>
      <c r="K8" s="14" t="s">
        <v>1169</v>
      </c>
      <c r="L8" s="15" t="s">
        <v>1165</v>
      </c>
      <c r="M8" s="19"/>
      <c r="N8" s="13" t="s">
        <v>1162</v>
      </c>
      <c r="O8" s="15" t="s">
        <v>1170</v>
      </c>
      <c r="P8" s="19"/>
      <c r="Q8" s="19"/>
    </row>
    <row r="9">
      <c r="A9" s="18">
        <v>1.0</v>
      </c>
      <c r="B9" s="19">
        <v>0.45</v>
      </c>
      <c r="C9" s="19">
        <v>0.086</v>
      </c>
      <c r="D9" s="20" t="s">
        <v>1171</v>
      </c>
      <c r="E9" s="25"/>
      <c r="F9" s="19"/>
      <c r="G9" s="18" t="s">
        <v>1159</v>
      </c>
      <c r="H9" s="19">
        <v>0.4667</v>
      </c>
      <c r="I9" s="19">
        <v>0.0882</v>
      </c>
      <c r="J9" s="19">
        <v>0.4611</v>
      </c>
      <c r="K9" s="19" t="s">
        <v>1172</v>
      </c>
      <c r="L9" s="20" t="s">
        <v>1173</v>
      </c>
      <c r="M9" s="19"/>
      <c r="N9" s="18" t="s">
        <v>1159</v>
      </c>
      <c r="O9" s="20">
        <v>0.037</v>
      </c>
      <c r="P9" s="19"/>
      <c r="Q9" s="19"/>
    </row>
    <row r="10">
      <c r="A10" s="18">
        <v>5.0</v>
      </c>
      <c r="B10" s="19">
        <v>0.553</v>
      </c>
      <c r="C10" s="19">
        <v>0.043</v>
      </c>
      <c r="D10" s="20" t="s">
        <v>1171</v>
      </c>
      <c r="E10" s="25"/>
      <c r="F10" s="19"/>
      <c r="G10" s="18" t="s">
        <v>1160</v>
      </c>
      <c r="H10" s="19">
        <v>0.5567</v>
      </c>
      <c r="I10" s="19">
        <v>0.0431</v>
      </c>
      <c r="J10" s="19">
        <v>0.5556</v>
      </c>
      <c r="K10" s="19" t="s">
        <v>1174</v>
      </c>
      <c r="L10" s="20" t="s">
        <v>1173</v>
      </c>
      <c r="M10" s="19"/>
      <c r="N10" s="18" t="s">
        <v>1160</v>
      </c>
      <c r="O10" s="20">
        <v>2.9E-5</v>
      </c>
      <c r="P10" s="19"/>
      <c r="Q10" s="19"/>
    </row>
    <row r="11">
      <c r="A11" s="21" t="s">
        <v>1161</v>
      </c>
      <c r="B11" s="22">
        <v>0.549</v>
      </c>
      <c r="C11" s="22">
        <v>0.021</v>
      </c>
      <c r="D11" s="23" t="s">
        <v>1171</v>
      </c>
      <c r="E11" s="25"/>
      <c r="F11" s="19"/>
      <c r="G11" s="21" t="s">
        <v>1175</v>
      </c>
      <c r="H11" s="22">
        <v>0.563</v>
      </c>
      <c r="I11" s="22">
        <v>0.0211</v>
      </c>
      <c r="J11" s="22">
        <v>0.5601</v>
      </c>
      <c r="K11" s="22" t="s">
        <v>1176</v>
      </c>
      <c r="L11" s="23" t="s">
        <v>1173</v>
      </c>
      <c r="M11" s="19"/>
      <c r="N11" s="21" t="s">
        <v>1161</v>
      </c>
      <c r="O11" s="23">
        <v>0.0035</v>
      </c>
      <c r="P11" s="19"/>
      <c r="Q11" s="19"/>
    </row>
    <row r="12">
      <c r="A12" s="25"/>
      <c r="B12" s="25"/>
      <c r="C12" s="25"/>
      <c r="D12" s="25"/>
      <c r="E12" s="25"/>
      <c r="F12" s="19"/>
      <c r="G12" s="19"/>
      <c r="H12" s="19"/>
      <c r="I12" s="19"/>
      <c r="J12" s="19"/>
      <c r="K12" s="19"/>
      <c r="L12" s="19"/>
    </row>
    <row r="13">
      <c r="A13" s="25"/>
      <c r="B13" s="25"/>
      <c r="C13" s="25"/>
      <c r="D13" s="25"/>
      <c r="E13" s="25"/>
      <c r="F13" s="19"/>
      <c r="G13" s="19"/>
      <c r="H13" s="19"/>
      <c r="I13" s="19"/>
      <c r="J13" s="19"/>
      <c r="K13" s="19"/>
      <c r="L13" s="19"/>
    </row>
    <row r="14">
      <c r="A14" s="25"/>
      <c r="B14" s="25"/>
      <c r="C14" s="25"/>
      <c r="D14" s="25"/>
      <c r="E14" s="25"/>
      <c r="F14" s="19"/>
      <c r="G14" s="19"/>
      <c r="H14" s="19"/>
      <c r="I14" s="19"/>
      <c r="J14" s="19"/>
      <c r="K14" s="19"/>
      <c r="L14" s="19"/>
    </row>
    <row r="15">
      <c r="A15" s="25"/>
      <c r="B15" s="25"/>
      <c r="C15" s="25"/>
      <c r="D15" s="25"/>
      <c r="E15" s="25"/>
      <c r="F15" s="19"/>
      <c r="G15" s="19"/>
      <c r="H15" s="19"/>
      <c r="I15" s="19"/>
      <c r="J15" s="19"/>
      <c r="K15" s="19"/>
    </row>
    <row r="16">
      <c r="A16" s="25"/>
      <c r="B16" s="25"/>
      <c r="C16" s="25"/>
      <c r="D16" s="25"/>
      <c r="E16" s="25"/>
      <c r="F16" s="19"/>
      <c r="G16" s="19"/>
      <c r="H16" s="19"/>
      <c r="I16" s="19"/>
      <c r="J16" s="19"/>
      <c r="K16" s="19"/>
    </row>
    <row r="17">
      <c r="A17" s="25"/>
      <c r="B17" s="25"/>
      <c r="C17" s="25"/>
      <c r="D17" s="25"/>
      <c r="E17" s="25"/>
      <c r="F17" s="19"/>
      <c r="G17" s="19"/>
      <c r="H17" s="19"/>
      <c r="I17" s="19"/>
      <c r="J17" s="19"/>
      <c r="K17" s="19"/>
    </row>
    <row r="18">
      <c r="A18" s="25"/>
      <c r="B18" s="25"/>
      <c r="C18" s="25"/>
      <c r="D18" s="25"/>
      <c r="E18" s="25"/>
      <c r="F18" s="19"/>
      <c r="G18" s="19"/>
      <c r="H18" s="19"/>
      <c r="I18" s="19"/>
      <c r="J18" s="19"/>
      <c r="K18" s="19"/>
    </row>
    <row r="19">
      <c r="A19" s="25"/>
      <c r="B19" s="25"/>
      <c r="C19" s="25"/>
      <c r="D19" s="25"/>
      <c r="E19" s="25"/>
      <c r="K19" s="19"/>
    </row>
    <row r="20">
      <c r="A20" s="25"/>
      <c r="B20" s="25"/>
      <c r="C20" s="25"/>
      <c r="D20" s="25"/>
      <c r="E20" s="25"/>
      <c r="K20" s="19"/>
    </row>
    <row r="21">
      <c r="A21" s="25"/>
      <c r="B21" s="25"/>
      <c r="C21" s="25"/>
      <c r="D21" s="25"/>
      <c r="E21" s="25"/>
    </row>
    <row r="22">
      <c r="A22" s="25"/>
      <c r="B22" s="25"/>
      <c r="C22" s="25"/>
      <c r="D22" s="25"/>
      <c r="E22" s="25"/>
    </row>
  </sheetData>
  <drawing r:id="rId1"/>
</worksheet>
</file>